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el/Desktop/AAPLfpaportfolio/"/>
    </mc:Choice>
  </mc:AlternateContent>
  <xr:revisionPtr revIDLastSave="0" documentId="13_ncr:1_{C00837F0-89F3-9E46-B90D-379EA3EF5EB8}" xr6:coauthVersionLast="47" xr6:coauthVersionMax="47" xr10:uidLastSave="{00000000-0000-0000-0000-000000000000}"/>
  <bookViews>
    <workbookView xWindow="2560" yWindow="860" windowWidth="25800" windowHeight="15820" tabRatio="500" activeTab="7" xr2:uid="{00000000-000D-0000-FFFF-FFFF00000000}"/>
  </bookViews>
  <sheets>
    <sheet name="ReadMe" sheetId="1" r:id="rId1"/>
    <sheet name="Dashboard" sheetId="2" r:id="rId2"/>
    <sheet name="Assumptions" sheetId="3" r:id="rId3"/>
    <sheet name="Income_Statement" sheetId="4" r:id="rId4"/>
    <sheet name="Balance_Sheet" sheetId="5" r:id="rId5"/>
    <sheet name="Cash_Flow" sheetId="6" r:id="rId6"/>
    <sheet name="Retail_CapEx" sheetId="7" r:id="rId7"/>
    <sheet name="GRS_Headcount" sheetId="8" r:id="rId8"/>
  </sheets>
  <definedNames>
    <definedName name="Total_Net_Sales_C">Income_Statement!$C$17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8" l="1"/>
  <c r="F26" i="8"/>
  <c r="E26" i="8"/>
  <c r="D26" i="8"/>
  <c r="F25" i="8"/>
  <c r="F27" i="8" s="1"/>
  <c r="E25" i="8"/>
  <c r="D25" i="8"/>
  <c r="D27" i="8" s="1"/>
  <c r="D28" i="8" s="1"/>
  <c r="D19" i="8"/>
  <c r="F18" i="8"/>
  <c r="E18" i="8"/>
  <c r="E19" i="8" s="1"/>
  <c r="D18" i="8"/>
  <c r="C18" i="8"/>
  <c r="B18" i="8"/>
  <c r="F17" i="8"/>
  <c r="F19" i="8" s="1"/>
  <c r="E17" i="8"/>
  <c r="D17" i="8"/>
  <c r="C17" i="8"/>
  <c r="C19" i="8" s="1"/>
  <c r="B17" i="8"/>
  <c r="B19" i="8" s="1"/>
  <c r="E10" i="8"/>
  <c r="C10" i="8"/>
  <c r="F9" i="8"/>
  <c r="F10" i="8" s="1"/>
  <c r="E9" i="8"/>
  <c r="D9" i="8"/>
  <c r="D10" i="8" s="1"/>
  <c r="C9" i="8"/>
  <c r="B9" i="8"/>
  <c r="B10" i="8" s="1"/>
  <c r="B34" i="7"/>
  <c r="C33" i="7"/>
  <c r="B33" i="7"/>
  <c r="B32" i="7"/>
  <c r="B35" i="7" s="1"/>
  <c r="C31" i="7"/>
  <c r="C30" i="7"/>
  <c r="C29" i="7"/>
  <c r="C32" i="7" s="1"/>
  <c r="E27" i="7"/>
  <c r="F27" i="7" s="1"/>
  <c r="E26" i="7"/>
  <c r="F26" i="7" s="1"/>
  <c r="E25" i="7"/>
  <c r="F25" i="7" s="1"/>
  <c r="C22" i="7"/>
  <c r="C21" i="7"/>
  <c r="B21" i="7"/>
  <c r="B22" i="7" s="1"/>
  <c r="E18" i="7"/>
  <c r="F18" i="7" s="1"/>
  <c r="D18" i="7"/>
  <c r="F14" i="7"/>
  <c r="E14" i="7"/>
  <c r="D14" i="7"/>
  <c r="D21" i="7" s="1"/>
  <c r="F9" i="7"/>
  <c r="F21" i="7" s="1"/>
  <c r="E9" i="7"/>
  <c r="E21" i="7" s="1"/>
  <c r="D9" i="7"/>
  <c r="C31" i="6"/>
  <c r="B31" i="6"/>
  <c r="F27" i="6"/>
  <c r="E27" i="6"/>
  <c r="D27" i="6"/>
  <c r="D26" i="6"/>
  <c r="E26" i="6" s="1"/>
  <c r="F26" i="6" s="1"/>
  <c r="D25" i="6"/>
  <c r="D31" i="6" s="1"/>
  <c r="C22" i="6"/>
  <c r="B22" i="6"/>
  <c r="C38" i="5"/>
  <c r="B38" i="5"/>
  <c r="C31" i="5"/>
  <c r="B31" i="5"/>
  <c r="C27" i="5"/>
  <c r="C32" i="5" s="1"/>
  <c r="C39" i="5" s="1"/>
  <c r="B27" i="5"/>
  <c r="B32" i="5" s="1"/>
  <c r="B39" i="5" s="1"/>
  <c r="C18" i="5"/>
  <c r="B18" i="5"/>
  <c r="E42" i="4"/>
  <c r="F42" i="4" s="1"/>
  <c r="D42" i="4"/>
  <c r="B31" i="4"/>
  <c r="C30" i="4"/>
  <c r="B30" i="4"/>
  <c r="B25" i="4"/>
  <c r="C24" i="4"/>
  <c r="B24" i="4"/>
  <c r="C18" i="4"/>
  <c r="D10" i="4"/>
  <c r="E10" i="4" s="1"/>
  <c r="F10" i="4" s="1"/>
  <c r="D8" i="4"/>
  <c r="E8" i="4" s="1"/>
  <c r="F8" i="4" s="1"/>
  <c r="C8" i="4"/>
  <c r="D7" i="4"/>
  <c r="E7" i="4" s="1"/>
  <c r="C7" i="4"/>
  <c r="C9" i="4" s="1"/>
  <c r="C10" i="4" s="1"/>
  <c r="D44" i="3"/>
  <c r="E44" i="3" s="1"/>
  <c r="F44" i="3" s="1"/>
  <c r="C42" i="3"/>
  <c r="D38" i="3"/>
  <c r="D37" i="5" s="1"/>
  <c r="D37" i="3"/>
  <c r="D36" i="3"/>
  <c r="D26" i="5" s="1"/>
  <c r="E35" i="3"/>
  <c r="E25" i="5" s="1"/>
  <c r="D35" i="3"/>
  <c r="D25" i="5" s="1"/>
  <c r="D34" i="3"/>
  <c r="E34" i="3" s="1"/>
  <c r="F34" i="3" s="1"/>
  <c r="D33" i="3"/>
  <c r="E33" i="3" s="1"/>
  <c r="F33" i="3" s="1"/>
  <c r="F32" i="3"/>
  <c r="D32" i="3"/>
  <c r="E32" i="3" s="1"/>
  <c r="E31" i="3"/>
  <c r="E15" i="5" s="1"/>
  <c r="D31" i="3"/>
  <c r="D15" i="5" s="1"/>
  <c r="D30" i="3"/>
  <c r="D8" i="5" s="1"/>
  <c r="D29" i="3"/>
  <c r="E29" i="3" s="1"/>
  <c r="F29" i="3" s="1"/>
  <c r="F28" i="3"/>
  <c r="D28" i="3"/>
  <c r="E28" i="3" s="1"/>
  <c r="E27" i="3"/>
  <c r="F27" i="3" s="1"/>
  <c r="D27" i="3"/>
  <c r="D26" i="3"/>
  <c r="E26" i="3" s="1"/>
  <c r="F26" i="3" s="1"/>
  <c r="E25" i="3"/>
  <c r="F25" i="3" s="1"/>
  <c r="D25" i="3"/>
  <c r="D24" i="3"/>
  <c r="E24" i="3" s="1"/>
  <c r="F24" i="3" s="1"/>
  <c r="F11" i="3"/>
  <c r="E11" i="3"/>
  <c r="D11" i="3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D15" i="2"/>
  <c r="C15" i="2"/>
  <c r="G14" i="2"/>
  <c r="F14" i="2"/>
  <c r="E14" i="2"/>
  <c r="D14" i="2"/>
  <c r="C14" i="2"/>
  <c r="H10" i="2"/>
  <c r="F10" i="2"/>
  <c r="D10" i="2"/>
  <c r="B10" i="2"/>
  <c r="B6" i="2"/>
  <c r="F7" i="4" l="1"/>
  <c r="F9" i="4" s="1"/>
  <c r="F17" i="4" s="1"/>
  <c r="E9" i="4"/>
  <c r="E17" i="4" s="1"/>
  <c r="B36" i="4"/>
  <c r="B38" i="4" s="1"/>
  <c r="B32" i="4"/>
  <c r="F20" i="6"/>
  <c r="F22" i="6" s="1"/>
  <c r="F35" i="3"/>
  <c r="F25" i="5" s="1"/>
  <c r="D29" i="5"/>
  <c r="E37" i="3"/>
  <c r="D30" i="7"/>
  <c r="F31" i="3"/>
  <c r="F15" i="5" s="1"/>
  <c r="C31" i="4"/>
  <c r="C25" i="4"/>
  <c r="D31" i="7"/>
  <c r="B21" i="8"/>
  <c r="B20" i="8"/>
  <c r="F20" i="8"/>
  <c r="E20" i="8"/>
  <c r="E30" i="3"/>
  <c r="E38" i="3"/>
  <c r="D9" i="4"/>
  <c r="D17" i="4" s="1"/>
  <c r="E20" i="6"/>
  <c r="E22" i="6" s="1"/>
  <c r="C20" i="8"/>
  <c r="C21" i="8"/>
  <c r="F28" i="8"/>
  <c r="E28" i="8"/>
  <c r="C34" i="7"/>
  <c r="C35" i="7" s="1"/>
  <c r="C43" i="3" s="1"/>
  <c r="D20" i="8"/>
  <c r="E36" i="3"/>
  <c r="E25" i="6"/>
  <c r="D29" i="7"/>
  <c r="E26" i="5" l="1"/>
  <c r="F36" i="3"/>
  <c r="F26" i="5" s="1"/>
  <c r="D31" i="5"/>
  <c r="D32" i="7"/>
  <c r="D35" i="7" s="1"/>
  <c r="D8" i="6" s="1"/>
  <c r="E37" i="5"/>
  <c r="F38" i="3"/>
  <c r="F37" i="5" s="1"/>
  <c r="D34" i="7"/>
  <c r="D33" i="7"/>
  <c r="F25" i="6"/>
  <c r="F31" i="6" s="1"/>
  <c r="E31" i="6"/>
  <c r="E8" i="5"/>
  <c r="F30" i="3"/>
  <c r="F8" i="5" s="1"/>
  <c r="E29" i="5"/>
  <c r="E31" i="5" s="1"/>
  <c r="F37" i="3"/>
  <c r="F29" i="5" s="1"/>
  <c r="B7" i="6"/>
  <c r="B17" i="6" s="1"/>
  <c r="B33" i="6" s="1"/>
  <c r="B35" i="6" s="1"/>
  <c r="B43" i="4"/>
  <c r="B39" i="4"/>
  <c r="C16" i="2" s="1"/>
  <c r="E22" i="7"/>
  <c r="C36" i="4"/>
  <c r="C38" i="4" s="1"/>
  <c r="C32" i="4"/>
  <c r="E9" i="6"/>
  <c r="E9" i="5"/>
  <c r="E30" i="5"/>
  <c r="E23" i="5"/>
  <c r="E17" i="5"/>
  <c r="E10" i="5"/>
  <c r="E35" i="4"/>
  <c r="E24" i="5"/>
  <c r="E28" i="4"/>
  <c r="E18" i="4"/>
  <c r="E12" i="5"/>
  <c r="E14" i="6" s="1"/>
  <c r="E29" i="4"/>
  <c r="E21" i="8" s="1"/>
  <c r="E23" i="4"/>
  <c r="F15" i="2"/>
  <c r="E13" i="4"/>
  <c r="E14" i="4" s="1"/>
  <c r="D12" i="5"/>
  <c r="D9" i="6"/>
  <c r="D35" i="5" s="1"/>
  <c r="D9" i="5"/>
  <c r="D11" i="6" s="1"/>
  <c r="D13" i="4"/>
  <c r="D14" i="4" s="1"/>
  <c r="D30" i="5"/>
  <c r="D23" i="5"/>
  <c r="D17" i="5"/>
  <c r="D10" i="5"/>
  <c r="D12" i="6" s="1"/>
  <c r="D35" i="4"/>
  <c r="D24" i="5"/>
  <c r="D28" i="4"/>
  <c r="D30" i="4" s="1"/>
  <c r="D18" i="4"/>
  <c r="E15" i="2"/>
  <c r="D29" i="4"/>
  <c r="D21" i="8" s="1"/>
  <c r="D23" i="4"/>
  <c r="D20" i="6"/>
  <c r="F22" i="7"/>
  <c r="F30" i="5"/>
  <c r="F23" i="5"/>
  <c r="F17" i="5"/>
  <c r="F10" i="5"/>
  <c r="F12" i="6" s="1"/>
  <c r="F24" i="5"/>
  <c r="F28" i="4"/>
  <c r="F18" i="4"/>
  <c r="F12" i="5"/>
  <c r="F29" i="4"/>
  <c r="F21" i="8" s="1"/>
  <c r="F23" i="4"/>
  <c r="F9" i="6"/>
  <c r="F9" i="5"/>
  <c r="F11" i="6" s="1"/>
  <c r="F13" i="4"/>
  <c r="F35" i="4"/>
  <c r="F14" i="4"/>
  <c r="G15" i="2"/>
  <c r="D6" i="2"/>
  <c r="F11" i="5" l="1"/>
  <c r="F22" i="5"/>
  <c r="E31" i="7"/>
  <c r="F24" i="4"/>
  <c r="D16" i="5"/>
  <c r="D22" i="6"/>
  <c r="D22" i="7"/>
  <c r="E16" i="6"/>
  <c r="F30" i="4"/>
  <c r="F16" i="6"/>
  <c r="D16" i="6"/>
  <c r="E35" i="5"/>
  <c r="E22" i="5"/>
  <c r="E11" i="5"/>
  <c r="E13" i="6" s="1"/>
  <c r="E24" i="4"/>
  <c r="C7" i="6"/>
  <c r="C17" i="6" s="1"/>
  <c r="C33" i="6" s="1"/>
  <c r="C35" i="6" s="1"/>
  <c r="C43" i="4"/>
  <c r="C39" i="4"/>
  <c r="C34" i="6"/>
  <c r="B7" i="5"/>
  <c r="B13" i="5" s="1"/>
  <c r="B19" i="5" s="1"/>
  <c r="B41" i="5" s="1"/>
  <c r="E30" i="7"/>
  <c r="F14" i="6"/>
  <c r="D22" i="5"/>
  <c r="D11" i="5"/>
  <c r="D13" i="6" s="1"/>
  <c r="D24" i="4"/>
  <c r="D14" i="6"/>
  <c r="E30" i="4"/>
  <c r="E12" i="6"/>
  <c r="E11" i="6"/>
  <c r="F31" i="5"/>
  <c r="E29" i="7"/>
  <c r="E33" i="7" l="1"/>
  <c r="E15" i="6"/>
  <c r="E27" i="5"/>
  <c r="E32" i="5" s="1"/>
  <c r="E32" i="7"/>
  <c r="F30" i="7" s="1"/>
  <c r="F33" i="7" s="1"/>
  <c r="D27" i="5"/>
  <c r="D32" i="5" s="1"/>
  <c r="D15" i="6"/>
  <c r="E31" i="4"/>
  <c r="E25" i="4"/>
  <c r="F35" i="5"/>
  <c r="F31" i="4"/>
  <c r="F25" i="4"/>
  <c r="E34" i="7"/>
  <c r="F31" i="7"/>
  <c r="F34" i="7" s="1"/>
  <c r="F15" i="6"/>
  <c r="F27" i="5"/>
  <c r="F32" i="5" s="1"/>
  <c r="D16" i="2"/>
  <c r="F6" i="2"/>
  <c r="D31" i="4"/>
  <c r="D25" i="4"/>
  <c r="C7" i="5"/>
  <c r="C13" i="5" s="1"/>
  <c r="C19" i="5" s="1"/>
  <c r="C41" i="5" s="1"/>
  <c r="D34" i="6"/>
  <c r="D18" i="5"/>
  <c r="F13" i="6"/>
  <c r="F29" i="7" l="1"/>
  <c r="F32" i="7" s="1"/>
  <c r="F35" i="7" s="1"/>
  <c r="F8" i="6" s="1"/>
  <c r="D36" i="4"/>
  <c r="D32" i="4"/>
  <c r="F36" i="4"/>
  <c r="F32" i="4"/>
  <c r="E32" i="4"/>
  <c r="E36" i="4"/>
  <c r="E35" i="7"/>
  <c r="E8" i="6" s="1"/>
  <c r="E16" i="5" s="1"/>
  <c r="E37" i="4" l="1"/>
  <c r="E38" i="4"/>
  <c r="F16" i="5"/>
  <c r="F18" i="5" s="1"/>
  <c r="E18" i="5"/>
  <c r="F37" i="4"/>
  <c r="F38" i="4" s="1"/>
  <c r="D37" i="4"/>
  <c r="D38" i="4" s="1"/>
  <c r="D43" i="4" l="1"/>
  <c r="D39" i="4"/>
  <c r="E16" i="2" s="1"/>
  <c r="D36" i="5"/>
  <c r="D7" i="6"/>
  <c r="D17" i="6" s="1"/>
  <c r="D33" i="6" s="1"/>
  <c r="D35" i="6" s="1"/>
  <c r="F7" i="6"/>
  <c r="F17" i="6" s="1"/>
  <c r="F33" i="6" s="1"/>
  <c r="F43" i="4"/>
  <c r="F39" i="4"/>
  <c r="E7" i="6"/>
  <c r="E17" i="6" s="1"/>
  <c r="E33" i="6" s="1"/>
  <c r="E43" i="4"/>
  <c r="E39" i="4"/>
  <c r="F16" i="2" s="1"/>
  <c r="E34" i="6" l="1"/>
  <c r="D7" i="5"/>
  <c r="D13" i="5" s="1"/>
  <c r="D19" i="5" s="1"/>
  <c r="E35" i="6"/>
  <c r="H6" i="2"/>
  <c r="G16" i="2"/>
  <c r="E36" i="5"/>
  <c r="D38" i="5"/>
  <c r="D39" i="5" s="1"/>
  <c r="F34" i="6" l="1"/>
  <c r="F35" i="6" s="1"/>
  <c r="F7" i="5" s="1"/>
  <c r="F13" i="5" s="1"/>
  <c r="F19" i="5" s="1"/>
  <c r="F41" i="5" s="1"/>
  <c r="E7" i="5"/>
  <c r="E13" i="5" s="1"/>
  <c r="E19" i="5" s="1"/>
  <c r="D41" i="5"/>
  <c r="F36" i="5"/>
  <c r="F38" i="5" s="1"/>
  <c r="F39" i="5" s="1"/>
  <c r="E38" i="5"/>
  <c r="E39" i="5" s="1"/>
  <c r="E4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1" authorId="0" shapeId="0" xr:uid="{00000000-0006-0000-0200-000001000000}">
      <text>
        <r>
          <rPr>
            <sz val="10"/>
            <color rgb="FF000000"/>
            <rFont val="Arial"/>
            <family val="2"/>
          </rPr>
          <t>ESTIMATE: Apple does not disclose a Stores vs. E-Commerce split. Modeled 55/45 split of the disclosed FY2025 Direct channel based on typical retail-store weighting; adjust freely — this is the key judgment call in the retail buildup.</t>
        </r>
      </text>
    </comment>
    <comment ref="C12" authorId="0" shapeId="0" xr:uid="{00000000-0006-0000-0200-000002000000}">
      <text>
        <r>
          <rPr>
            <sz val="10"/>
            <rFont val="Arial"/>
            <family val="2"/>
          </rPr>
          <t>ACTUAL — Apple FY2025 10-K, Item 1 Business: "During 2025, the Company's net sales through its direct and indirect distribution channels accounted for 40% and 60%, respectively, of total net sales." Applied to FY2025A only (not separately disclosed by year).</t>
        </r>
      </text>
    </comment>
    <comment ref="C16" authorId="0" shapeId="0" xr:uid="{00000000-0006-0000-0200-000003000000}">
      <text>
        <r>
          <rPr>
            <sz val="10"/>
            <rFont val="Arial"/>
            <family val="2"/>
          </rPr>
          <t>ACTUAL FY2025: Total gross margin $195,201M / Total net sales $416,161M = 46.9%. Source: 10-K Consolidated Statements of Operations.</t>
        </r>
      </text>
    </comment>
    <comment ref="C17" authorId="0" shapeId="0" xr:uid="{00000000-0006-0000-0200-000004000000}">
      <text>
        <r>
          <rPr>
            <sz val="10"/>
            <rFont val="Arial"/>
            <family val="2"/>
          </rPr>
          <t>ACTUAL FY2025: $34,550M / $416,161M = 8.3%.</t>
        </r>
      </text>
    </comment>
    <comment ref="C18" authorId="0" shapeId="0" xr:uid="{00000000-0006-0000-0200-000005000000}">
      <text>
        <r>
          <rPr>
            <sz val="10"/>
            <rFont val="Arial"/>
            <family val="2"/>
          </rPr>
          <t>ACTUAL FY2025: $27,601M / $416,161M = 6.63%.</t>
        </r>
      </text>
    </comment>
    <comment ref="C19" authorId="0" shapeId="0" xr:uid="{00000000-0006-0000-0200-000006000000}">
      <text>
        <r>
          <rPr>
            <sz val="10"/>
            <rFont val="Arial"/>
            <family val="2"/>
          </rPr>
          <t>ACTUAL FY2025 effective tax rate per 10-K: 15.6%.</t>
        </r>
      </text>
    </comment>
    <comment ref="C24" authorId="0" shapeId="0" xr:uid="{00000000-0006-0000-0200-000007000000}">
      <text>
        <r>
          <rPr>
            <sz val="10"/>
            <color rgb="FF000000"/>
            <rFont val="Arial"/>
            <family val="2"/>
          </rPr>
          <t>ACTUAL: AR $39,777M / Net sales $416,161M x 365 = 34.9 days.</t>
        </r>
      </text>
    </comment>
    <comment ref="C25" authorId="0" shapeId="0" xr:uid="{00000000-0006-0000-0200-000008000000}">
      <text>
        <r>
          <rPr>
            <sz val="10"/>
            <rFont val="Arial"/>
            <family val="2"/>
          </rPr>
          <t>ACTUAL: Inventory $5,718M / COGS $220,960M x 365 = 9.4 days.</t>
        </r>
      </text>
    </comment>
    <comment ref="C26" authorId="0" shapeId="0" xr:uid="{00000000-0006-0000-0200-000009000000}">
      <text>
        <r>
          <rPr>
            <sz val="10"/>
            <rFont val="Arial"/>
            <family val="2"/>
          </rPr>
          <t>ACTUAL: AP $69,860M / COGS $220,960M x 365 = 115.4 days.</t>
        </r>
      </text>
    </comment>
    <comment ref="C27" authorId="0" shapeId="0" xr:uid="{00000000-0006-0000-0200-00000A000000}">
      <text>
        <r>
          <rPr>
            <sz val="10"/>
            <rFont val="Arial"/>
            <family val="2"/>
          </rPr>
          <t>ACTUAL FY2025: $33,180M / $416,161M.</t>
        </r>
      </text>
    </comment>
    <comment ref="C28" authorId="0" shapeId="0" xr:uid="{00000000-0006-0000-0200-00000B000000}">
      <text>
        <r>
          <rPr>
            <sz val="10"/>
            <rFont val="Arial"/>
            <family val="2"/>
          </rPr>
          <t>ACTUAL FY2025: $14,585M / $416,161M.</t>
        </r>
      </text>
    </comment>
    <comment ref="C29" authorId="0" shapeId="0" xr:uid="{00000000-0006-0000-0200-00000C000000}">
      <text>
        <r>
          <rPr>
            <sz val="10"/>
            <rFont val="Arial"/>
            <family val="2"/>
          </rPr>
          <t>ACTUAL FY2025: $83,727M / $416,161M.</t>
        </r>
      </text>
    </comment>
    <comment ref="C30" authorId="0" shapeId="0" xr:uid="{00000000-0006-0000-0200-00000D000000}">
      <text>
        <r>
          <rPr>
            <sz val="10"/>
            <rFont val="Arial"/>
            <family val="2"/>
          </rPr>
          <t>ACTUAL FY2025 balance, held flat as a simplifying assumption (treasury/investing policy not modeled).</t>
        </r>
      </text>
    </comment>
    <comment ref="C31" authorId="0" shapeId="0" xr:uid="{00000000-0006-0000-0200-00000E000000}">
      <text>
        <r>
          <rPr>
            <sz val="10"/>
            <rFont val="Arial"/>
            <family val="2"/>
          </rPr>
          <t>ACTUAL FY2025 balance, held flat.</t>
        </r>
      </text>
    </comment>
    <comment ref="C32" authorId="0" shapeId="0" xr:uid="{00000000-0006-0000-0200-00000F000000}">
      <text>
        <r>
          <rPr>
            <sz val="10"/>
            <rFont val="Arial"/>
            <family val="2"/>
          </rPr>
          <t>ACTUAL FY2025: $66,387M / $416,161M.</t>
        </r>
      </text>
    </comment>
    <comment ref="C33" authorId="0" shapeId="0" xr:uid="{00000000-0006-0000-0200-000010000000}">
      <text>
        <r>
          <rPr>
            <sz val="10"/>
            <rFont val="Arial"/>
            <family val="2"/>
          </rPr>
          <t>ACTUAL FY2025: $9,055M / $416,161M.</t>
        </r>
      </text>
    </comment>
    <comment ref="C34" authorId="0" shapeId="0" xr:uid="{00000000-0006-0000-0200-000011000000}">
      <text>
        <r>
          <rPr>
            <sz val="10"/>
            <rFont val="Arial"/>
            <family val="2"/>
          </rPr>
          <t>ACTUAL FY2025: $41,549M / $416,161M.</t>
        </r>
      </text>
    </comment>
    <comment ref="C35" authorId="0" shapeId="0" xr:uid="{00000000-0006-0000-0200-000012000000}">
      <text>
        <r>
          <rPr>
            <sz val="10"/>
            <rFont val="Arial"/>
            <family val="2"/>
          </rPr>
          <t>ACTUAL FY2025 balance, held flat (no financing-mix change assumed).</t>
        </r>
      </text>
    </comment>
    <comment ref="C36" authorId="0" shapeId="0" xr:uid="{00000000-0006-0000-0200-000013000000}">
      <text>
        <r>
          <rPr>
            <sz val="10"/>
            <rFont val="Arial"/>
            <family val="2"/>
          </rPr>
          <t>ACTUAL FY2025 balance, held flat.</t>
        </r>
      </text>
    </comment>
    <comment ref="C37" authorId="0" shapeId="0" xr:uid="{00000000-0006-0000-0200-000014000000}">
      <text>
        <r>
          <rPr>
            <sz val="10"/>
            <rFont val="Arial"/>
            <family val="2"/>
          </rPr>
          <t>ACTUAL FY2025 balance, held flat (no major refinancing/issuance assumed).</t>
        </r>
      </text>
    </comment>
    <comment ref="C38" authorId="0" shapeId="0" xr:uid="{00000000-0006-0000-0200-000015000000}">
      <text>
        <r>
          <rPr>
            <sz val="10"/>
            <rFont val="Arial"/>
            <family val="2"/>
          </rPr>
          <t>ACTUAL FY2025 balance, held flat (FX/derivative/securities marks not modeled).</t>
        </r>
      </text>
    </comment>
    <comment ref="C42" authorId="0" shapeId="0" xr:uid="{00000000-0006-0000-0200-000016000000}">
      <text>
        <r>
          <rPr>
            <sz val="10"/>
            <rFont val="Arial"/>
            <family val="2"/>
          </rPr>
          <t>Back-solved: Actual FY2025 total company CapEx ($12,715M, 10-K) minus modeled Retail CapEx from the Retail_CapEx schedule, as a % of net sales.</t>
        </r>
      </text>
    </comment>
    <comment ref="C43" authorId="0" shapeId="0" xr:uid="{00000000-0006-0000-0200-000017000000}">
      <text>
        <r>
          <rPr>
            <sz val="10"/>
            <rFont val="Arial"/>
            <family val="2"/>
          </rPr>
          <t>Back-solved: Actual FY2025 total company D&amp;A ($11,698M, 10-K) minus modeled Retail Depreciation from the Retail_CapEx schedule, as a % of net sales.</t>
        </r>
      </text>
    </comment>
    <comment ref="C44" authorId="0" shapeId="0" xr:uid="{00000000-0006-0000-0200-000018000000}">
      <text>
        <r>
          <rPr>
            <sz val="10"/>
            <rFont val="Arial"/>
            <family val="2"/>
          </rPr>
          <t>ACTUAL FY2025: SBC $12,863M / $416,161M.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300-00000C000000}">
      <text>
        <r>
          <rPr>
            <sz val="10"/>
            <rFont val="Arial"/>
            <family val="2"/>
          </rPr>
          <t>Estimate: FY2025 Total Net Sales x Direct-channel % (10-K disclosed) x Stores % of Direct (analyst estimate).</t>
        </r>
      </text>
    </comment>
    <comment ref="C8" authorId="0" shapeId="0" xr:uid="{00000000-0006-0000-0300-00000D000000}">
      <text>
        <r>
          <rPr>
            <sz val="10"/>
            <rFont val="Arial"/>
            <family val="2"/>
          </rPr>
          <t>Estimate: FY2025 Total Net Sales x Direct-channel % x (1 − Stores %).</t>
        </r>
      </text>
    </comment>
    <comment ref="B13" authorId="0" shapeId="0" xr:uid="{00000000-0006-0000-0300-000001000000}">
      <text>
        <r>
          <rPr>
            <sz val="10"/>
            <rFont val="Arial"/>
            <family val="2"/>
          </rPr>
          <t>ACTUAL. Source: Apple FY2025 10-K, Consolidated Statements of Operations.</t>
        </r>
      </text>
    </comment>
    <comment ref="C13" authorId="0" shapeId="0" xr:uid="{00000000-0006-0000-0300-00000E000000}">
      <text>
        <r>
          <rPr>
            <sz val="10"/>
            <rFont val="Arial"/>
            <family val="2"/>
          </rPr>
          <t>ACTUAL. Source: Apple FY2025 10-K.</t>
        </r>
      </text>
    </comment>
    <comment ref="B14" authorId="0" shapeId="0" xr:uid="{00000000-0006-0000-0300-000002000000}">
      <text>
        <r>
          <rPr>
            <sz val="10"/>
            <rFont val="Arial"/>
            <family val="2"/>
          </rPr>
          <t>ACTUAL. Source: Apple FY2025 10-K.</t>
        </r>
      </text>
    </comment>
    <comment ref="C14" authorId="0" shapeId="0" xr:uid="{00000000-0006-0000-0300-00000F000000}">
      <text>
        <r>
          <rPr>
            <sz val="10"/>
            <rFont val="Arial"/>
            <family val="2"/>
          </rPr>
          <t>ACTUAL. Source: Apple FY2025 10-K.</t>
        </r>
      </text>
    </comment>
    <comment ref="B17" authorId="0" shapeId="0" xr:uid="{00000000-0006-0000-0300-000003000000}">
      <text>
        <r>
          <rPr>
            <sz val="10"/>
            <rFont val="Arial"/>
            <family val="2"/>
          </rPr>
          <t>ACTUAL FY2024. Source: Apple FY2025 10-K (prior-year comparative).</t>
        </r>
      </text>
    </comment>
    <comment ref="C17" authorId="0" shapeId="0" xr:uid="{00000000-0006-0000-0300-000010000000}">
      <text>
        <r>
          <rPr>
            <sz val="10"/>
            <rFont val="Arial"/>
            <family val="2"/>
          </rPr>
          <t>ACTUAL FY2025. Source: Apple FY2025 10-K.</t>
        </r>
      </text>
    </comment>
    <comment ref="B21" authorId="0" shapeId="0" xr:uid="{00000000-0006-0000-0300-000004000000}">
      <text>
        <r>
          <rPr>
            <sz val="10"/>
            <rFont val="Arial"/>
            <family val="2"/>
          </rPr>
          <t>ACTUAL. Source: Apple FY2025 10-K.</t>
        </r>
      </text>
    </comment>
    <comment ref="C21" authorId="0" shapeId="0" xr:uid="{00000000-0006-0000-0300-000011000000}">
      <text>
        <r>
          <rPr>
            <sz val="10"/>
            <rFont val="Arial"/>
            <family val="2"/>
          </rPr>
          <t>ACTUAL. Source: Apple FY2025 10-K.</t>
        </r>
      </text>
    </comment>
    <comment ref="B22" authorId="0" shapeId="0" xr:uid="{00000000-0006-0000-0300-000005000000}">
      <text>
        <r>
          <rPr>
            <sz val="10"/>
            <rFont val="Arial"/>
            <family val="2"/>
          </rPr>
          <t>ACTUAL. Source: Apple FY2025 10-K.</t>
        </r>
      </text>
    </comment>
    <comment ref="C22" authorId="0" shapeId="0" xr:uid="{00000000-0006-0000-0300-000012000000}">
      <text>
        <r>
          <rPr>
            <sz val="10"/>
            <rFont val="Arial"/>
            <family val="2"/>
          </rPr>
          <t>ACTUAL. Source: Apple FY2025 10-K.</t>
        </r>
      </text>
    </comment>
    <comment ref="B23" authorId="0" shapeId="0" xr:uid="{00000000-0006-0000-0300-000006000000}">
      <text>
        <r>
          <rPr>
            <sz val="10"/>
            <rFont val="Arial"/>
            <family val="2"/>
          </rPr>
          <t>ACTUAL FY2024.</t>
        </r>
      </text>
    </comment>
    <comment ref="C23" authorId="0" shapeId="0" xr:uid="{00000000-0006-0000-0300-000013000000}">
      <text>
        <r>
          <rPr>
            <sz val="10"/>
            <rFont val="Arial"/>
            <family val="2"/>
          </rPr>
          <t>ACTUAL FY2025.</t>
        </r>
      </text>
    </comment>
    <comment ref="B28" authorId="0" shapeId="0" xr:uid="{00000000-0006-0000-0300-000007000000}">
      <text>
        <r>
          <rPr>
            <sz val="10"/>
            <rFont val="Arial"/>
            <family val="2"/>
          </rPr>
          <t>ACTUAL FY2024.</t>
        </r>
      </text>
    </comment>
    <comment ref="C28" authorId="0" shapeId="0" xr:uid="{00000000-0006-0000-0300-000014000000}">
      <text>
        <r>
          <rPr>
            <sz val="10"/>
            <color rgb="FF000000"/>
            <rFont val="Arial"/>
            <family val="2"/>
          </rPr>
          <t>ACTUAL FY2025.</t>
        </r>
      </text>
    </comment>
    <comment ref="B29" authorId="0" shapeId="0" xr:uid="{00000000-0006-0000-0300-000008000000}">
      <text>
        <r>
          <rPr>
            <sz val="10"/>
            <rFont val="Arial"/>
            <family val="2"/>
          </rPr>
          <t>ACTUAL FY2024.</t>
        </r>
      </text>
    </comment>
    <comment ref="C29" authorId="0" shapeId="0" xr:uid="{00000000-0006-0000-0300-000015000000}">
      <text>
        <r>
          <rPr>
            <sz val="10"/>
            <rFont val="Arial"/>
            <family val="2"/>
          </rPr>
          <t>ACTUAL FY2025.</t>
        </r>
      </text>
    </comment>
    <comment ref="B35" authorId="0" shapeId="0" xr:uid="{00000000-0006-0000-0300-000009000000}">
      <text>
        <r>
          <rPr>
            <sz val="10"/>
            <rFont val="Arial"/>
            <family val="2"/>
          </rPr>
          <t>ACTUAL FY2024.</t>
        </r>
      </text>
    </comment>
    <comment ref="C35" authorId="0" shapeId="0" xr:uid="{00000000-0006-0000-0300-000016000000}">
      <text>
        <r>
          <rPr>
            <sz val="10"/>
            <rFont val="Arial"/>
            <family val="2"/>
          </rPr>
          <t>ACTUAL FY2025.</t>
        </r>
      </text>
    </comment>
    <comment ref="B37" authorId="0" shapeId="0" xr:uid="{00000000-0006-0000-0300-00000A000000}">
      <text>
        <r>
          <rPr>
            <sz val="10"/>
            <rFont val="Arial"/>
            <family val="2"/>
          </rPr>
          <t>ACTUAL FY2024.</t>
        </r>
      </text>
    </comment>
    <comment ref="C37" authorId="0" shapeId="0" xr:uid="{00000000-0006-0000-0300-000017000000}">
      <text>
        <r>
          <rPr>
            <sz val="10"/>
            <rFont val="Arial"/>
            <family val="2"/>
          </rPr>
          <t>ACTUAL FY2025.</t>
        </r>
      </text>
    </comment>
    <comment ref="B42" authorId="0" shapeId="0" xr:uid="{00000000-0006-0000-0300-00000B000000}">
      <text>
        <r>
          <rPr>
            <sz val="10"/>
            <rFont val="Arial"/>
            <family val="2"/>
          </rPr>
          <t>ACTUAL FY2024. Source: Apple FY2025 10-K.</t>
        </r>
      </text>
    </comment>
    <comment ref="C42" authorId="0" shapeId="0" xr:uid="{00000000-0006-0000-0300-000018000000}">
      <text>
        <r>
          <rPr>
            <sz val="10"/>
            <rFont val="Arial"/>
            <family val="2"/>
          </rPr>
          <t>ACTUAL FY2025. Source: Apple FY2025 10-K.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400-000001000000}">
      <text>
        <r>
          <rPr>
            <sz val="10"/>
            <rFont val="Arial"/>
            <family val="2"/>
          </rPr>
          <t>ACTUAL FY2024/25 balance also ties to Cash Flow ending cash.</t>
        </r>
      </text>
    </comment>
    <comment ref="C7" authorId="0" shapeId="0" xr:uid="{00000000-0006-0000-0400-000014000000}">
      <text>
        <r>
          <rPr>
            <sz val="10"/>
            <rFont val="Arial"/>
            <family val="2"/>
          </rPr>
          <t>ACTUAL FY2024/25 balance also ties to Cash Flow ending cash.</t>
        </r>
      </text>
    </comment>
    <comment ref="D7" authorId="0" shapeId="0" xr:uid="{00000000-0006-0000-0400-000027000000}">
      <text>
        <r>
          <rPr>
            <sz val="10"/>
            <rFont val="Arial"/>
            <family val="2"/>
          </rPr>
          <t>Linked from Cash Flow Statement ending cash — closes the 3-statement loop.</t>
        </r>
      </text>
    </comment>
    <comment ref="E7" authorId="0" shapeId="0" xr:uid="{00000000-0006-0000-0400-00002B000000}">
      <text>
        <r>
          <rPr>
            <sz val="10"/>
            <rFont val="Arial"/>
            <family val="2"/>
          </rPr>
          <t>Linked from Cash Flow Statement ending cash — closes the 3-statement loop.</t>
        </r>
      </text>
    </comment>
    <comment ref="F7" authorId="0" shapeId="0" xr:uid="{00000000-0006-0000-0400-00002F000000}">
      <text>
        <r>
          <rPr>
            <sz val="10"/>
            <rFont val="Arial"/>
            <family val="2"/>
          </rPr>
          <t>Linked from Cash Flow Statement ending cash — closes the 3-statement loop.</t>
        </r>
      </text>
    </comment>
    <comment ref="B8" authorId="0" shapeId="0" xr:uid="{00000000-0006-0000-0400-000002000000}">
      <text>
        <r>
          <rPr>
            <sz val="10"/>
            <rFont val="Arial"/>
            <family val="2"/>
          </rPr>
          <t>ACTUAL FY2024.</t>
        </r>
      </text>
    </comment>
    <comment ref="C8" authorId="0" shapeId="0" xr:uid="{00000000-0006-0000-0400-000015000000}">
      <text>
        <r>
          <rPr>
            <sz val="10"/>
            <rFont val="Arial"/>
            <family val="2"/>
          </rPr>
          <t>ACTUAL FY2025.</t>
        </r>
      </text>
    </comment>
    <comment ref="B9" authorId="0" shapeId="0" xr:uid="{00000000-0006-0000-0400-000003000000}">
      <text>
        <r>
          <rPr>
            <sz val="10"/>
            <rFont val="Arial"/>
            <family val="2"/>
          </rPr>
          <t>ACTUAL FY2024.</t>
        </r>
      </text>
    </comment>
    <comment ref="C9" authorId="0" shapeId="0" xr:uid="{00000000-0006-0000-0400-000016000000}">
      <text>
        <r>
          <rPr>
            <sz val="10"/>
            <rFont val="Arial"/>
            <family val="2"/>
          </rPr>
          <t>ACTUAL FY2025.</t>
        </r>
      </text>
    </comment>
    <comment ref="B10" authorId="0" shapeId="0" xr:uid="{00000000-0006-0000-0400-000004000000}">
      <text>
        <r>
          <rPr>
            <sz val="10"/>
            <rFont val="Arial"/>
            <family val="2"/>
          </rPr>
          <t>ACTUAL FY2024.</t>
        </r>
      </text>
    </comment>
    <comment ref="C10" authorId="0" shapeId="0" xr:uid="{00000000-0006-0000-0400-000017000000}">
      <text>
        <r>
          <rPr>
            <sz val="10"/>
            <rFont val="Arial"/>
            <family val="2"/>
          </rPr>
          <t>ACTUAL FY2025.</t>
        </r>
      </text>
    </comment>
    <comment ref="B11" authorId="0" shapeId="0" xr:uid="{00000000-0006-0000-0400-000005000000}">
      <text>
        <r>
          <rPr>
            <sz val="10"/>
            <rFont val="Arial"/>
            <family val="2"/>
          </rPr>
          <t>ACTUAL FY2024.</t>
        </r>
      </text>
    </comment>
    <comment ref="C11" authorId="0" shapeId="0" xr:uid="{00000000-0006-0000-0400-000018000000}">
      <text>
        <r>
          <rPr>
            <sz val="10"/>
            <rFont val="Arial"/>
            <family val="2"/>
          </rPr>
          <t>ACTUAL FY2025.</t>
        </r>
      </text>
    </comment>
    <comment ref="B12" authorId="0" shapeId="0" xr:uid="{00000000-0006-0000-0400-000006000000}">
      <text>
        <r>
          <rPr>
            <sz val="10"/>
            <rFont val="Arial"/>
            <family val="2"/>
          </rPr>
          <t>ACTUAL FY2024.</t>
        </r>
      </text>
    </comment>
    <comment ref="C12" authorId="0" shapeId="0" xr:uid="{00000000-0006-0000-0400-000019000000}">
      <text>
        <r>
          <rPr>
            <sz val="10"/>
            <rFont val="Arial"/>
            <family val="2"/>
          </rPr>
          <t>ACTUAL FY2025.</t>
        </r>
      </text>
    </comment>
    <comment ref="B15" authorId="0" shapeId="0" xr:uid="{00000000-0006-0000-0400-000007000000}">
      <text>
        <r>
          <rPr>
            <sz val="10"/>
            <rFont val="Arial"/>
            <family val="2"/>
          </rPr>
          <t>ACTUAL FY2024.</t>
        </r>
      </text>
    </comment>
    <comment ref="C15" authorId="0" shapeId="0" xr:uid="{00000000-0006-0000-0400-00001A000000}">
      <text>
        <r>
          <rPr>
            <sz val="10"/>
            <rFont val="Arial"/>
            <family val="2"/>
          </rPr>
          <t>ACTUAL FY2025.</t>
        </r>
      </text>
    </comment>
    <comment ref="B16" authorId="0" shapeId="0" xr:uid="{00000000-0006-0000-0400-000008000000}">
      <text>
        <r>
          <rPr>
            <sz val="10"/>
            <rFont val="Arial"/>
            <family val="2"/>
          </rPr>
          <t>ACTUAL FY2024.</t>
        </r>
      </text>
    </comment>
    <comment ref="C16" authorId="0" shapeId="0" xr:uid="{00000000-0006-0000-0400-00001B000000}">
      <text>
        <r>
          <rPr>
            <sz val="10"/>
            <rFont val="Arial"/>
            <family val="2"/>
          </rPr>
          <t>ACTUAL FY2025.</t>
        </r>
      </text>
    </comment>
    <comment ref="D16" authorId="0" shapeId="0" xr:uid="{00000000-0006-0000-0400-000028000000}">
      <text>
        <r>
          <rPr>
            <sz val="10"/>
            <rFont val="Arial"/>
            <family val="2"/>
          </rPr>
          <t>Rollforward: prior PP&amp;E + CapEx (Cash Flow, investing) − D&amp;A (Cash Flow, operating add-back).</t>
        </r>
      </text>
    </comment>
    <comment ref="E16" authorId="0" shapeId="0" xr:uid="{00000000-0006-0000-0400-00002C000000}">
      <text>
        <r>
          <rPr>
            <sz val="10"/>
            <rFont val="Arial"/>
            <family val="2"/>
          </rPr>
          <t>Rollforward: prior PP&amp;E + CapEx (Cash Flow, investing) − D&amp;A (Cash Flow, operating add-back).</t>
        </r>
      </text>
    </comment>
    <comment ref="F16" authorId="0" shapeId="0" xr:uid="{00000000-0006-0000-0400-000030000000}">
      <text>
        <r>
          <rPr>
            <sz val="10"/>
            <rFont val="Arial"/>
            <family val="2"/>
          </rPr>
          <t>Rollforward: prior PP&amp;E + CapEx (Cash Flow, investing) − D&amp;A (Cash Flow, operating add-back).</t>
        </r>
      </text>
    </comment>
    <comment ref="B17" authorId="0" shapeId="0" xr:uid="{00000000-0006-0000-0400-000009000000}">
      <text>
        <r>
          <rPr>
            <sz val="10"/>
            <rFont val="Arial"/>
            <family val="2"/>
          </rPr>
          <t>ACTUAL FY2024.</t>
        </r>
      </text>
    </comment>
    <comment ref="C17" authorId="0" shapeId="0" xr:uid="{00000000-0006-0000-0400-00001C000000}">
      <text>
        <r>
          <rPr>
            <sz val="10"/>
            <rFont val="Arial"/>
            <family val="2"/>
          </rPr>
          <t>ACTUAL FY2025.</t>
        </r>
      </text>
    </comment>
    <comment ref="B22" authorId="0" shapeId="0" xr:uid="{00000000-0006-0000-0400-00000A000000}">
      <text>
        <r>
          <rPr>
            <sz val="10"/>
            <rFont val="Arial"/>
            <family val="2"/>
          </rPr>
          <t>ACTUAL FY2024.</t>
        </r>
      </text>
    </comment>
    <comment ref="C22" authorId="0" shapeId="0" xr:uid="{00000000-0006-0000-0400-00001D000000}">
      <text>
        <r>
          <rPr>
            <sz val="10"/>
            <rFont val="Arial"/>
            <family val="2"/>
          </rPr>
          <t>ACTUAL FY2025.</t>
        </r>
      </text>
    </comment>
    <comment ref="B23" authorId="0" shapeId="0" xr:uid="{00000000-0006-0000-0400-00000B000000}">
      <text>
        <r>
          <rPr>
            <sz val="10"/>
            <rFont val="Arial"/>
            <family val="2"/>
          </rPr>
          <t>ACTUAL FY2024.</t>
        </r>
      </text>
    </comment>
    <comment ref="C23" authorId="0" shapeId="0" xr:uid="{00000000-0006-0000-0400-00001E000000}">
      <text>
        <r>
          <rPr>
            <sz val="10"/>
            <rFont val="Arial"/>
            <family val="2"/>
          </rPr>
          <t>ACTUAL FY2025.</t>
        </r>
      </text>
    </comment>
    <comment ref="B24" authorId="0" shapeId="0" xr:uid="{00000000-0006-0000-0400-00000C000000}">
      <text>
        <r>
          <rPr>
            <sz val="10"/>
            <rFont val="Arial"/>
            <family val="2"/>
          </rPr>
          <t>ACTUAL FY2024.</t>
        </r>
      </text>
    </comment>
    <comment ref="C24" authorId="0" shapeId="0" xr:uid="{00000000-0006-0000-0400-00001F000000}">
      <text>
        <r>
          <rPr>
            <sz val="10"/>
            <rFont val="Arial"/>
            <family val="2"/>
          </rPr>
          <t>ACTUAL FY2025.</t>
        </r>
      </text>
    </comment>
    <comment ref="B25" authorId="0" shapeId="0" xr:uid="{00000000-0006-0000-0400-00000D000000}">
      <text>
        <r>
          <rPr>
            <sz val="10"/>
            <rFont val="Arial"/>
            <family val="2"/>
          </rPr>
          <t>ACTUAL FY2024.</t>
        </r>
      </text>
    </comment>
    <comment ref="C25" authorId="0" shapeId="0" xr:uid="{00000000-0006-0000-0400-000020000000}">
      <text>
        <r>
          <rPr>
            <sz val="10"/>
            <rFont val="Arial"/>
            <family val="2"/>
          </rPr>
          <t>ACTUAL FY2025.</t>
        </r>
      </text>
    </comment>
    <comment ref="B26" authorId="0" shapeId="0" xr:uid="{00000000-0006-0000-0400-00000E000000}">
      <text>
        <r>
          <rPr>
            <sz val="10"/>
            <rFont val="Arial"/>
            <family val="2"/>
          </rPr>
          <t>ACTUAL FY2024.</t>
        </r>
      </text>
    </comment>
    <comment ref="C26" authorId="0" shapeId="0" xr:uid="{00000000-0006-0000-0400-000021000000}">
      <text>
        <r>
          <rPr>
            <sz val="10"/>
            <rFont val="Arial"/>
            <family val="2"/>
          </rPr>
          <t>ACTUAL FY2025.</t>
        </r>
      </text>
    </comment>
    <comment ref="B29" authorId="0" shapeId="0" xr:uid="{00000000-0006-0000-0400-00000F000000}">
      <text>
        <r>
          <rPr>
            <sz val="10"/>
            <rFont val="Arial"/>
            <family val="2"/>
          </rPr>
          <t>ACTUAL FY2024.</t>
        </r>
      </text>
    </comment>
    <comment ref="C29" authorId="0" shapeId="0" xr:uid="{00000000-0006-0000-0400-000022000000}">
      <text>
        <r>
          <rPr>
            <sz val="10"/>
            <rFont val="Arial"/>
            <family val="2"/>
          </rPr>
          <t>ACTUAL FY2025.</t>
        </r>
      </text>
    </comment>
    <comment ref="B30" authorId="0" shapeId="0" xr:uid="{00000000-0006-0000-0400-000010000000}">
      <text>
        <r>
          <rPr>
            <sz val="10"/>
            <rFont val="Arial"/>
            <family val="2"/>
          </rPr>
          <t>ACTUAL FY2024.</t>
        </r>
      </text>
    </comment>
    <comment ref="C30" authorId="0" shapeId="0" xr:uid="{00000000-0006-0000-0400-000023000000}">
      <text>
        <r>
          <rPr>
            <sz val="10"/>
            <rFont val="Arial"/>
            <family val="2"/>
          </rPr>
          <t>ACTUAL FY2025.</t>
        </r>
      </text>
    </comment>
    <comment ref="B35" authorId="0" shapeId="0" xr:uid="{00000000-0006-0000-0400-000011000000}">
      <text>
        <r>
          <rPr>
            <sz val="10"/>
            <rFont val="Arial"/>
            <family val="2"/>
          </rPr>
          <t>ACTUAL FY2024.</t>
        </r>
      </text>
    </comment>
    <comment ref="C35" authorId="0" shapeId="0" xr:uid="{00000000-0006-0000-0400-000024000000}">
      <text>
        <r>
          <rPr>
            <sz val="10"/>
            <rFont val="Arial"/>
            <family val="2"/>
          </rPr>
          <t>ACTUAL FY2025.</t>
        </r>
      </text>
    </comment>
    <comment ref="D35" authorId="0" shapeId="0" xr:uid="{00000000-0006-0000-0400-000029000000}">
      <text>
        <r>
          <rPr>
            <sz val="10"/>
            <rFont val="Arial"/>
            <family val="2"/>
          </rPr>
          <t>Simplified rollforward: prior APIC + SBC expense added back. Ignores option exercise proceeds and net-share-settlement tax withholding (immaterial to projection-level accuracy).</t>
        </r>
      </text>
    </comment>
    <comment ref="E35" authorId="0" shapeId="0" xr:uid="{00000000-0006-0000-0400-00002D000000}">
      <text>
        <r>
          <rPr>
            <sz val="10"/>
            <rFont val="Arial"/>
            <family val="2"/>
          </rPr>
          <t>Simplified rollforward: prior APIC + SBC expense added back. Ignores option exercise proceeds and net-share-settlement tax withholding (immaterial to projection-level accuracy).</t>
        </r>
      </text>
    </comment>
    <comment ref="F35" authorId="0" shapeId="0" xr:uid="{00000000-0006-0000-0400-000031000000}">
      <text>
        <r>
          <rPr>
            <sz val="10"/>
            <rFont val="Arial"/>
            <family val="2"/>
          </rPr>
          <t>Simplified rollforward: prior APIC + SBC expense added back. Ignores option exercise proceeds and net-share-settlement tax withholding (immaterial to projection-level accuracy).</t>
        </r>
      </text>
    </comment>
    <comment ref="B36" authorId="0" shapeId="0" xr:uid="{00000000-0006-0000-0400-000012000000}">
      <text>
        <r>
          <rPr>
            <sz val="10"/>
            <rFont val="Arial"/>
            <family val="2"/>
          </rPr>
          <t>ACTUAL FY2024.</t>
        </r>
      </text>
    </comment>
    <comment ref="C36" authorId="0" shapeId="0" xr:uid="{00000000-0006-0000-0400-000025000000}">
      <text>
        <r>
          <rPr>
            <sz val="10"/>
            <rFont val="Arial"/>
            <family val="2"/>
          </rPr>
          <t>ACTUAL FY2025.</t>
        </r>
      </text>
    </comment>
    <comment ref="D36" authorId="0" shapeId="0" xr:uid="{00000000-0006-0000-0400-00002A000000}">
      <text>
        <r>
          <rPr>
            <sz val="10"/>
            <rFont val="Arial"/>
            <family val="2"/>
          </rPr>
          <t>Rollforward: prior balance + Net Income + dividends paid + buybacks + net-share-settlement tax withholding (Cash Flow, financing section) — Apple charges dividends, buybacks, and this tax withholding against Accumulated Deficit/Retained Earnings.</t>
        </r>
      </text>
    </comment>
    <comment ref="E36" authorId="0" shapeId="0" xr:uid="{00000000-0006-0000-0400-00002E000000}">
      <text>
        <r>
          <rPr>
            <sz val="10"/>
            <rFont val="Arial"/>
            <family val="2"/>
          </rPr>
          <t>Rollforward: prior balance + Net Income + dividends paid + buybacks + net-share-settlement tax withholding (Cash Flow, financing section) — Apple charges dividends, buybacks, and this tax withholding against Accumulated Deficit/Retained Earnings.</t>
        </r>
      </text>
    </comment>
    <comment ref="F36" authorId="0" shapeId="0" xr:uid="{00000000-0006-0000-0400-000032000000}">
      <text>
        <r>
          <rPr>
            <sz val="10"/>
            <rFont val="Arial"/>
            <family val="2"/>
          </rPr>
          <t>Rollforward: prior balance + Net Income + dividends paid + buybacks + net-share-settlement tax withholding (Cash Flow, financing section) — Apple charges dividends, buybacks, and this tax withholding against Accumulated Deficit/Retained Earnings.</t>
        </r>
      </text>
    </comment>
    <comment ref="B37" authorId="0" shapeId="0" xr:uid="{00000000-0006-0000-0400-000013000000}">
      <text>
        <r>
          <rPr>
            <sz val="10"/>
            <rFont val="Arial"/>
            <family val="2"/>
          </rPr>
          <t>ACTUAL FY2024.</t>
        </r>
      </text>
    </comment>
    <comment ref="C37" authorId="0" shapeId="0" xr:uid="{00000000-0006-0000-0400-000026000000}">
      <text>
        <r>
          <rPr>
            <sz val="10"/>
            <rFont val="Arial"/>
            <family val="2"/>
          </rPr>
          <t>ACTUAL FY2025.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500-000001000000}">
      <text>
        <r>
          <rPr>
            <sz val="10"/>
            <rFont val="Arial"/>
            <family val="2"/>
          </rPr>
          <t>ACTUAL FY2024.</t>
        </r>
      </text>
    </comment>
    <comment ref="C8" authorId="0" shapeId="0" xr:uid="{00000000-0006-0000-0500-000013000000}">
      <text>
        <r>
          <rPr>
            <sz val="10"/>
            <rFont val="Arial"/>
            <family val="2"/>
          </rPr>
          <t>ACTUAL FY2025.</t>
        </r>
      </text>
    </comment>
    <comment ref="D8" authorId="0" shapeId="0" xr:uid="{00000000-0006-0000-0500-000024000000}">
      <text>
        <r>
          <rPr>
            <sz val="10"/>
            <rFont val="Arial"/>
            <family val="2"/>
          </rPr>
          <t>Total D&amp;A = Retail Depreciation (Retail_CapEx schedule) + Other/Non-Retail D&amp;A (Assumptions % of sales).</t>
        </r>
      </text>
    </comment>
    <comment ref="E8" authorId="0" shapeId="0" xr:uid="{00000000-0006-0000-0500-00002C000000}">
      <text>
        <r>
          <rPr>
            <sz val="10"/>
            <rFont val="Arial"/>
            <family val="2"/>
          </rPr>
          <t>Total D&amp;A = Retail Depreciation (Retail_CapEx schedule) + Other/Non-Retail D&amp;A (Assumptions % of sales).</t>
        </r>
      </text>
    </comment>
    <comment ref="F8" authorId="0" shapeId="0" xr:uid="{00000000-0006-0000-0500-000034000000}">
      <text>
        <r>
          <rPr>
            <sz val="10"/>
            <rFont val="Arial"/>
            <family val="2"/>
          </rPr>
          <t>Total D&amp;A = Retail Depreciation (Retail_CapEx schedule) + Other/Non-Retail D&amp;A (Assumptions % of sales).</t>
        </r>
      </text>
    </comment>
    <comment ref="B9" authorId="0" shapeId="0" xr:uid="{00000000-0006-0000-0500-000002000000}">
      <text>
        <r>
          <rPr>
            <sz val="10"/>
            <rFont val="Arial"/>
            <family val="2"/>
          </rPr>
          <t>ACTUAL FY2024.</t>
        </r>
      </text>
    </comment>
    <comment ref="C9" authorId="0" shapeId="0" xr:uid="{00000000-0006-0000-0500-000014000000}">
      <text>
        <r>
          <rPr>
            <sz val="10"/>
            <rFont val="Arial"/>
            <family val="2"/>
          </rPr>
          <t>ACTUAL FY2025.</t>
        </r>
      </text>
    </comment>
    <comment ref="B10" authorId="0" shapeId="0" xr:uid="{00000000-0006-0000-0500-000003000000}">
      <text>
        <r>
          <rPr>
            <sz val="10"/>
            <rFont val="Arial"/>
            <family val="2"/>
          </rPr>
          <t>ACTUAL FY2024.</t>
        </r>
      </text>
    </comment>
    <comment ref="C10" authorId="0" shapeId="0" xr:uid="{00000000-0006-0000-0500-000015000000}">
      <text>
        <r>
          <rPr>
            <sz val="10"/>
            <color rgb="FF000000"/>
            <rFont val="Arial"/>
            <family val="2"/>
          </rPr>
          <t>ACTUAL FY2025.</t>
        </r>
      </text>
    </comment>
    <comment ref="B11" authorId="0" shapeId="0" xr:uid="{00000000-0006-0000-0500-000004000000}">
      <text>
        <r>
          <rPr>
            <sz val="10"/>
            <rFont val="Arial"/>
            <family val="2"/>
          </rPr>
          <t>ACTUAL FY2024.</t>
        </r>
      </text>
    </comment>
    <comment ref="C11" authorId="0" shapeId="0" xr:uid="{00000000-0006-0000-0500-000016000000}">
      <text>
        <r>
          <rPr>
            <sz val="10"/>
            <rFont val="Arial"/>
            <family val="2"/>
          </rPr>
          <t>ACTUAL FY2025.</t>
        </r>
      </text>
    </comment>
    <comment ref="B12" authorId="0" shapeId="0" xr:uid="{00000000-0006-0000-0500-000005000000}">
      <text>
        <r>
          <rPr>
            <sz val="10"/>
            <rFont val="Arial"/>
            <family val="2"/>
          </rPr>
          <t>ACTUAL FY2024.</t>
        </r>
      </text>
    </comment>
    <comment ref="C12" authorId="0" shapeId="0" xr:uid="{00000000-0006-0000-0500-000017000000}">
      <text>
        <r>
          <rPr>
            <sz val="10"/>
            <rFont val="Arial"/>
            <family val="2"/>
          </rPr>
          <t>ACTUAL FY2025.</t>
        </r>
      </text>
    </comment>
    <comment ref="B13" authorId="0" shapeId="0" xr:uid="{00000000-0006-0000-0500-000006000000}">
      <text>
        <r>
          <rPr>
            <sz val="10"/>
            <rFont val="Arial"/>
            <family val="2"/>
          </rPr>
          <t>ACTUAL FY2024.</t>
        </r>
      </text>
    </comment>
    <comment ref="C13" authorId="0" shapeId="0" xr:uid="{00000000-0006-0000-0500-000018000000}">
      <text>
        <r>
          <rPr>
            <sz val="10"/>
            <rFont val="Arial"/>
            <family val="2"/>
          </rPr>
          <t>ACTUAL FY2025.</t>
        </r>
      </text>
    </comment>
    <comment ref="B14" authorId="0" shapeId="0" xr:uid="{00000000-0006-0000-0500-000007000000}">
      <text>
        <r>
          <rPr>
            <sz val="10"/>
            <rFont val="Arial"/>
            <family val="2"/>
          </rPr>
          <t>ACTUAL FY2024.</t>
        </r>
      </text>
    </comment>
    <comment ref="C14" authorId="0" shapeId="0" xr:uid="{00000000-0006-0000-0500-000019000000}">
      <text>
        <r>
          <rPr>
            <sz val="10"/>
            <rFont val="Arial"/>
            <family val="2"/>
          </rPr>
          <t>ACTUAL FY2025.</t>
        </r>
      </text>
    </comment>
    <comment ref="D14" authorId="0" shapeId="0" xr:uid="{00000000-0006-0000-0500-000025000000}">
      <text>
        <r>
          <rPr>
            <sz val="10"/>
            <rFont val="Arial"/>
            <family val="2"/>
          </rPr>
          <t>Combines Other Current Assets and Other Non-Current Assets movements.</t>
        </r>
      </text>
    </comment>
    <comment ref="E14" authorId="0" shapeId="0" xr:uid="{00000000-0006-0000-0500-00002D000000}">
      <text>
        <r>
          <rPr>
            <sz val="10"/>
            <rFont val="Arial"/>
            <family val="2"/>
          </rPr>
          <t>Combines Other Current Assets and Other Non-Current Assets movements.</t>
        </r>
      </text>
    </comment>
    <comment ref="F14" authorId="0" shapeId="0" xr:uid="{00000000-0006-0000-0500-000035000000}">
      <text>
        <r>
          <rPr>
            <sz val="10"/>
            <rFont val="Arial"/>
            <family val="2"/>
          </rPr>
          <t>Combines Other Current Assets and Other Non-Current Assets movements.</t>
        </r>
      </text>
    </comment>
    <comment ref="B15" authorId="0" shapeId="0" xr:uid="{00000000-0006-0000-0500-000008000000}">
      <text>
        <r>
          <rPr>
            <sz val="10"/>
            <rFont val="Arial"/>
            <family val="2"/>
          </rPr>
          <t>ACTUAL FY2024.</t>
        </r>
      </text>
    </comment>
    <comment ref="C15" authorId="0" shapeId="0" xr:uid="{00000000-0006-0000-0500-00001A000000}">
      <text>
        <r>
          <rPr>
            <sz val="10"/>
            <rFont val="Arial"/>
            <family val="2"/>
          </rPr>
          <t>ACTUAL FY2025.</t>
        </r>
      </text>
    </comment>
    <comment ref="B16" authorId="0" shapeId="0" xr:uid="{00000000-0006-0000-0500-000009000000}">
      <text>
        <r>
          <rPr>
            <sz val="10"/>
            <rFont val="Arial"/>
            <family val="2"/>
          </rPr>
          <t>ACTUAL FY2024.</t>
        </r>
      </text>
    </comment>
    <comment ref="C16" authorId="0" shapeId="0" xr:uid="{00000000-0006-0000-0500-00001B000000}">
      <text>
        <r>
          <rPr>
            <sz val="10"/>
            <rFont val="Arial"/>
            <family val="2"/>
          </rPr>
          <t>ACTUAL FY2025.</t>
        </r>
      </text>
    </comment>
    <comment ref="D16" authorId="0" shapeId="0" xr:uid="{00000000-0006-0000-0500-000026000000}">
      <text>
        <r>
          <rPr>
            <sz val="10"/>
            <rFont val="Arial"/>
            <family val="2"/>
          </rPr>
          <t>Combines Other Current Liabilities, Deferred Revenue, and Other Non-Current Liabilities movements.</t>
        </r>
      </text>
    </comment>
    <comment ref="E16" authorId="0" shapeId="0" xr:uid="{00000000-0006-0000-0500-00002E000000}">
      <text>
        <r>
          <rPr>
            <sz val="10"/>
            <rFont val="Arial"/>
            <family val="2"/>
          </rPr>
          <t>Combines Other Current Liabilities, Deferred Revenue, and Other Non-Current Liabilities movements.</t>
        </r>
      </text>
    </comment>
    <comment ref="F16" authorId="0" shapeId="0" xr:uid="{00000000-0006-0000-0500-000036000000}">
      <text>
        <r>
          <rPr>
            <sz val="10"/>
            <rFont val="Arial"/>
            <family val="2"/>
          </rPr>
          <t>Combines Other Current Liabilities, Deferred Revenue, and Other Non-Current Liabilities movements.</t>
        </r>
      </text>
    </comment>
    <comment ref="B20" authorId="0" shapeId="0" xr:uid="{00000000-0006-0000-0500-00000A000000}">
      <text>
        <r>
          <rPr>
            <sz val="10"/>
            <rFont val="Arial"/>
            <family val="2"/>
          </rPr>
          <t>ACTUAL FY2024.</t>
        </r>
      </text>
    </comment>
    <comment ref="C20" authorId="0" shapeId="0" xr:uid="{00000000-0006-0000-0500-00001C000000}">
      <text>
        <r>
          <rPr>
            <sz val="10"/>
            <rFont val="Arial"/>
            <family val="2"/>
          </rPr>
          <t>ACTUAL FY2025.</t>
        </r>
      </text>
    </comment>
    <comment ref="D20" authorId="0" shapeId="0" xr:uid="{00000000-0006-0000-0500-000027000000}">
      <text>
        <r>
          <rPr>
            <sz val="10"/>
            <rFont val="Arial"/>
            <family val="2"/>
          </rPr>
          <t>Total CapEx = Retail CapEx (Retail_CapEx schedule) + Other/Non-Retail CapEx (Assumptions % of sales).</t>
        </r>
      </text>
    </comment>
    <comment ref="E20" authorId="0" shapeId="0" xr:uid="{00000000-0006-0000-0500-00002F000000}">
      <text>
        <r>
          <rPr>
            <sz val="10"/>
            <rFont val="Arial"/>
            <family val="2"/>
          </rPr>
          <t>Total CapEx = Retail CapEx (Retail_CapEx schedule) + Other/Non-Retail CapEx (Assumptions % of sales).</t>
        </r>
      </text>
    </comment>
    <comment ref="F20" authorId="0" shapeId="0" xr:uid="{00000000-0006-0000-0500-000037000000}">
      <text>
        <r>
          <rPr>
            <sz val="10"/>
            <rFont val="Arial"/>
            <family val="2"/>
          </rPr>
          <t>Total CapEx = Retail CapEx (Retail_CapEx schedule) + Other/Non-Retail CapEx (Assumptions % of sales).</t>
        </r>
      </text>
    </comment>
    <comment ref="B21" authorId="0" shapeId="0" xr:uid="{00000000-0006-0000-0500-00000B000000}">
      <text>
        <r>
          <rPr>
            <sz val="10"/>
            <rFont val="Arial"/>
            <family val="2"/>
          </rPr>
          <t>ACTUAL FY2024: purchases/maturities/sales of marketable securities and other investing, net.</t>
        </r>
      </text>
    </comment>
    <comment ref="C21" authorId="0" shapeId="0" xr:uid="{00000000-0006-0000-0500-00001D000000}">
      <text>
        <r>
          <rPr>
            <sz val="10"/>
            <rFont val="Arial"/>
            <family val="2"/>
          </rPr>
          <t>ACTUAL FY2025: purchases/maturities/sales of marketable securities and other investing, net.</t>
        </r>
      </text>
    </comment>
    <comment ref="D21" authorId="0" shapeId="0" xr:uid="{00000000-0006-0000-0500-000028000000}">
      <text>
        <r>
          <rPr>
            <sz val="10"/>
            <rFont val="Arial"/>
            <family val="2"/>
          </rPr>
          <t>Simplifying assumption: no net securities activity projected beyond the balances held flat on the Balance Sheet.</t>
        </r>
      </text>
    </comment>
    <comment ref="E21" authorId="0" shapeId="0" xr:uid="{00000000-0006-0000-0500-000030000000}">
      <text>
        <r>
          <rPr>
            <sz val="10"/>
            <rFont val="Arial"/>
            <family val="2"/>
          </rPr>
          <t>Simplifying assumption: no net securities activity projected beyond the balances held flat on the Balance Sheet.</t>
        </r>
      </text>
    </comment>
    <comment ref="F21" authorId="0" shapeId="0" xr:uid="{00000000-0006-0000-0500-000038000000}">
      <text>
        <r>
          <rPr>
            <sz val="10"/>
            <rFont val="Arial"/>
            <family val="2"/>
          </rPr>
          <t>Simplifying assumption: no net securities activity projected beyond the balances held flat on the Balance Sheet.</t>
        </r>
      </text>
    </comment>
    <comment ref="B25" authorId="0" shapeId="0" xr:uid="{00000000-0006-0000-0500-00000C000000}">
      <text>
        <r>
          <rPr>
            <sz val="10"/>
            <rFont val="Arial"/>
            <family val="2"/>
          </rPr>
          <t>ACTUAL FY2024.</t>
        </r>
      </text>
    </comment>
    <comment ref="C25" authorId="0" shapeId="0" xr:uid="{00000000-0006-0000-0500-00001E000000}">
      <text>
        <r>
          <rPr>
            <sz val="10"/>
            <rFont val="Arial"/>
            <family val="2"/>
          </rPr>
          <t>ACTUAL FY2025.</t>
        </r>
      </text>
    </comment>
    <comment ref="D25" authorId="0" shapeId="0" xr:uid="{00000000-0006-0000-0500-000029000000}">
      <text>
        <r>
          <rPr>
            <sz val="10"/>
            <rFont val="Arial"/>
            <family val="2"/>
          </rPr>
          <t>Held flat at FY2025 level.</t>
        </r>
      </text>
    </comment>
    <comment ref="E25" authorId="0" shapeId="0" xr:uid="{00000000-0006-0000-0500-000031000000}">
      <text>
        <r>
          <rPr>
            <sz val="10"/>
            <rFont val="Arial"/>
            <family val="2"/>
          </rPr>
          <t>Held flat at FY2025 level.</t>
        </r>
      </text>
    </comment>
    <comment ref="F25" authorId="0" shapeId="0" xr:uid="{00000000-0006-0000-0500-000039000000}">
      <text>
        <r>
          <rPr>
            <sz val="10"/>
            <rFont val="Arial"/>
            <family val="2"/>
          </rPr>
          <t>Held flat at FY2025 level.</t>
        </r>
      </text>
    </comment>
    <comment ref="B26" authorId="0" shapeId="0" xr:uid="{00000000-0006-0000-0500-00000D000000}">
      <text>
        <r>
          <rPr>
            <sz val="10"/>
            <rFont val="Arial"/>
            <family val="2"/>
          </rPr>
          <t>ACTUAL FY2024.</t>
        </r>
      </text>
    </comment>
    <comment ref="C26" authorId="0" shapeId="0" xr:uid="{00000000-0006-0000-0500-00001F000000}">
      <text>
        <r>
          <rPr>
            <sz val="10"/>
            <rFont val="Arial"/>
            <family val="2"/>
          </rPr>
          <t>ACTUAL FY2025.</t>
        </r>
      </text>
    </comment>
    <comment ref="B27" authorId="0" shapeId="0" xr:uid="{00000000-0006-0000-0500-00000E000000}">
      <text>
        <r>
          <rPr>
            <sz val="10"/>
            <rFont val="Arial"/>
            <family val="2"/>
          </rPr>
          <t>ACTUAL FY2024.</t>
        </r>
      </text>
    </comment>
    <comment ref="C27" authorId="0" shapeId="0" xr:uid="{00000000-0006-0000-0500-000020000000}">
      <text>
        <r>
          <rPr>
            <sz val="10"/>
            <rFont val="Arial"/>
            <family val="2"/>
          </rPr>
          <t>ACTUAL FY2025.</t>
        </r>
      </text>
    </comment>
    <comment ref="B28" authorId="0" shapeId="0" xr:uid="{00000000-0006-0000-0500-00000F000000}">
      <text>
        <r>
          <rPr>
            <sz val="10"/>
            <rFont val="Arial"/>
            <family val="2"/>
          </rPr>
          <t>ACTUAL FY2024.</t>
        </r>
      </text>
    </comment>
    <comment ref="C28" authorId="0" shapeId="0" xr:uid="{00000000-0006-0000-0500-000021000000}">
      <text>
        <r>
          <rPr>
            <sz val="10"/>
            <rFont val="Arial"/>
            <family val="2"/>
          </rPr>
          <t>ACTUAL FY2025.</t>
        </r>
      </text>
    </comment>
    <comment ref="D28" authorId="0" shapeId="0" xr:uid="{00000000-0006-0000-0500-00002A000000}">
      <text>
        <r>
          <rPr>
            <sz val="10"/>
            <rFont val="Arial"/>
            <family val="2"/>
          </rPr>
          <t>Simplifying assumption: no major debt issuance/refinancing projected (Term Debt balances held flat on Balance Sheet).</t>
        </r>
      </text>
    </comment>
    <comment ref="E28" authorId="0" shapeId="0" xr:uid="{00000000-0006-0000-0500-000032000000}">
      <text>
        <r>
          <rPr>
            <sz val="10"/>
            <rFont val="Arial"/>
            <family val="2"/>
          </rPr>
          <t>Simplifying assumption: no major debt issuance/refinancing projected (Term Debt balances held flat on Balance Sheet).</t>
        </r>
      </text>
    </comment>
    <comment ref="F28" authorId="0" shapeId="0" xr:uid="{00000000-0006-0000-0500-00003A000000}">
      <text>
        <r>
          <rPr>
            <sz val="10"/>
            <rFont val="Arial"/>
            <family val="2"/>
          </rPr>
          <t>Simplifying assumption: no major debt issuance/refinancing projected (Term Debt balances held flat on Balance Sheet).</t>
        </r>
      </text>
    </comment>
    <comment ref="B29" authorId="0" shapeId="0" xr:uid="{00000000-0006-0000-0500-000010000000}">
      <text>
        <r>
          <rPr>
            <sz val="10"/>
            <rFont val="Arial"/>
            <family val="2"/>
          </rPr>
          <t>ACTUAL FY2024.</t>
        </r>
      </text>
    </comment>
    <comment ref="C29" authorId="0" shapeId="0" xr:uid="{00000000-0006-0000-0500-000022000000}">
      <text>
        <r>
          <rPr>
            <sz val="10"/>
            <rFont val="Arial"/>
            <family val="2"/>
          </rPr>
          <t>ACTUAL FY2025.</t>
        </r>
      </text>
    </comment>
    <comment ref="D29" authorId="0" shapeId="0" xr:uid="{00000000-0006-0000-0500-00002B000000}">
      <text>
        <r>
          <rPr>
            <sz val="10"/>
            <rFont val="Arial"/>
            <family val="2"/>
          </rPr>
          <t>Simplifying assumption: Commercial Paper balance held flat on Balance Sheet.</t>
        </r>
      </text>
    </comment>
    <comment ref="E29" authorId="0" shapeId="0" xr:uid="{00000000-0006-0000-0500-000033000000}">
      <text>
        <r>
          <rPr>
            <sz val="10"/>
            <rFont val="Arial"/>
            <family val="2"/>
          </rPr>
          <t>Simplifying assumption: Commercial Paper balance held flat on Balance Sheet.</t>
        </r>
      </text>
    </comment>
    <comment ref="F29" authorId="0" shapeId="0" xr:uid="{00000000-0006-0000-0500-00003B000000}">
      <text>
        <r>
          <rPr>
            <sz val="10"/>
            <rFont val="Arial"/>
            <family val="2"/>
          </rPr>
          <t>Simplifying assumption: Commercial Paper balance held flat on Balance Sheet.</t>
        </r>
      </text>
    </comment>
    <comment ref="B30" authorId="0" shapeId="0" xr:uid="{00000000-0006-0000-0500-000011000000}">
      <text>
        <r>
          <rPr>
            <sz val="10"/>
            <rFont val="Arial"/>
            <family val="2"/>
          </rPr>
          <t>ACTUAL FY2024.</t>
        </r>
      </text>
    </comment>
    <comment ref="C30" authorId="0" shapeId="0" xr:uid="{00000000-0006-0000-0500-000023000000}">
      <text>
        <r>
          <rPr>
            <sz val="10"/>
            <rFont val="Arial"/>
            <family val="2"/>
          </rPr>
          <t>ACTUAL FY2025.</t>
        </r>
      </text>
    </comment>
    <comment ref="B34" authorId="0" shapeId="0" xr:uid="{00000000-0006-0000-0500-000012000000}">
      <text>
        <r>
          <rPr>
            <sz val="10"/>
            <rFont val="Arial"/>
            <family val="2"/>
          </rPr>
          <t>ACTUAL: FY2024 beginning cash balance (= FY2023 ending cash). Source: Apple Q4 FY2025 earnings release.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8" authorId="0" shapeId="0" xr:uid="{00000000-0006-0000-0600-00000C000000}">
      <text>
        <r>
          <rPr>
            <sz val="10"/>
            <rFont val="Arial"/>
            <family val="2"/>
          </rPr>
          <t>Estimate — typical Apple Store buildout cost (fit-out, fixtures, technology); not disclosed by Apple.</t>
        </r>
      </text>
    </comment>
    <comment ref="B9" authorId="0" shapeId="0" xr:uid="{00000000-0006-0000-0600-000001000000}">
      <text>
        <r>
          <rPr>
            <sz val="10"/>
            <rFont val="Arial"/>
            <family val="2"/>
          </rPr>
          <t>ESTIMATE: ~25% of estimated total Retail CapEx (~6% of Apple's actual FY2024 total CapEx of $9,447M). Not disclosed. Recalibrated to be consistent with the ~16 stores/yr x $12M unit build-up used from FY2026E onward.</t>
        </r>
      </text>
    </comment>
    <comment ref="C9" authorId="0" shapeId="0" xr:uid="{00000000-0006-0000-0600-000008000000}">
      <text>
        <r>
          <rPr>
            <sz val="10"/>
            <rFont val="Arial"/>
            <family val="2"/>
          </rPr>
          <t>ESTIMATE: ~25% of estimated total Retail CapEx (~6% of Apple's actual FY2025 total CapEx of $12,715M). Not disclosed. Implies ~16 new stores at ~$12M average buildout cost, consistent with the FY2026E+ unit assumptions below.</t>
        </r>
      </text>
    </comment>
    <comment ref="D13" authorId="0" shapeId="0" xr:uid="{00000000-0006-0000-0600-00000D000000}">
      <text>
        <r>
          <rPr>
            <sz val="10"/>
            <rFont val="Arial"/>
            <family val="2"/>
          </rPr>
          <t>Estimate — partial refresh/remodel scope, not a full buildout; not disclosed by Apple.</t>
        </r>
      </text>
    </comment>
    <comment ref="B14" authorId="0" shapeId="0" xr:uid="{00000000-0006-0000-0600-000002000000}">
      <text>
        <r>
          <rPr>
            <sz val="10"/>
            <rFont val="Arial"/>
            <family val="2"/>
          </rPr>
          <t>ESTIMATE: ~45% of estimated total Retail CapEx. Not disclosed. Implies ~137 stores remodeled at ~$2.5M average cost, consistent with FY2026E+ unit assumptions.</t>
        </r>
      </text>
    </comment>
    <comment ref="C14" authorId="0" shapeId="0" xr:uid="{00000000-0006-0000-0600-000009000000}">
      <text>
        <r>
          <rPr>
            <sz val="10"/>
            <rFont val="Arial"/>
            <family val="2"/>
          </rPr>
          <t>ESTIMATE: ~45% of estimated total Retail CapEx. Not disclosed. Implies ~137 stores remodeled at ~$2.5M average cost, consistent with FY2026E+ unit assumptions.</t>
        </r>
      </text>
    </comment>
    <comment ref="B18" authorId="0" shapeId="0" xr:uid="{00000000-0006-0000-0600-000003000000}">
      <text>
        <r>
          <rPr>
            <sz val="10"/>
            <rFont val="Arial"/>
            <family val="2"/>
          </rPr>
          <t>ESTIMATE: ~30% of estimated total Retail CapEx (POS systems, in-store technology, back-office). Not disclosed.</t>
        </r>
      </text>
    </comment>
    <comment ref="C18" authorId="0" shapeId="0" xr:uid="{00000000-0006-0000-0600-00000A000000}">
      <text>
        <r>
          <rPr>
            <sz val="10"/>
            <rFont val="Arial"/>
            <family val="2"/>
          </rPr>
          <t>ESTIMATE: ~30% of estimated total Retail CapEx (POS systems, in-store technology, back-office). Not disclosed.</t>
        </r>
      </text>
    </comment>
    <comment ref="B22" authorId="0" shapeId="0" xr:uid="{00000000-0006-0000-0600-000004000000}">
      <text>
        <r>
          <rPr>
            <sz val="10"/>
            <rFont val="Arial"/>
            <family val="2"/>
          </rPr>
          <t>Total company CapEx FY2024A actual: $9,447M (10-K).</t>
        </r>
      </text>
    </comment>
    <comment ref="C22" authorId="0" shapeId="0" xr:uid="{00000000-0006-0000-0600-00000B000000}">
      <text>
        <r>
          <rPr>
            <sz val="10"/>
            <rFont val="Arial"/>
            <family val="2"/>
          </rPr>
          <t>Total company CapEx FY2025A actual: $12,715M (10-K).</t>
        </r>
      </text>
    </comment>
    <comment ref="B29" authorId="0" shapeId="0" xr:uid="{00000000-0006-0000-0600-000005000000}">
      <text>
        <r>
          <rPr>
            <sz val="10"/>
            <rFont val="Arial"/>
            <family val="2"/>
          </rPr>
          <t>ESTIMATE: illustrative opening balance as of FY2023 year-end, not disclosed by Apple.</t>
        </r>
      </text>
    </comment>
    <comment ref="B30" authorId="0" shapeId="0" xr:uid="{00000000-0006-0000-0600-000006000000}">
      <text>
        <r>
          <rPr>
            <sz val="10"/>
            <rFont val="Arial"/>
            <family val="2"/>
          </rPr>
          <t>ESTIMATE: illustrative opening balance as of FY2023 year-end, not disclosed by Apple.</t>
        </r>
      </text>
    </comment>
    <comment ref="B31" authorId="0" shapeId="0" xr:uid="{00000000-0006-0000-0600-000007000000}">
      <text>
        <r>
          <rPr>
            <sz val="10"/>
            <rFont val="Arial"/>
            <family val="2"/>
          </rPr>
          <t>ESTIMATE: illustrative opening balance as of FY2023 year-end, not disclosed by Apple.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700-000001000000}">
      <text>
        <r>
          <rPr>
            <sz val="10"/>
            <rFont val="Arial"/>
            <family val="2"/>
          </rPr>
          <t>Illustrative baseline. Apple's FY2025 10-K discloses ~166,000 total FTEs company-wide but does not break out a GRS/corporate-retail-support function.</t>
        </r>
      </text>
    </comment>
    <comment ref="B8" authorId="0" shapeId="0" xr:uid="{00000000-0006-0000-0700-000002000000}">
      <text>
        <r>
          <rPr>
            <sz val="10"/>
            <rFont val="Arial"/>
            <family val="2"/>
          </rPr>
          <t>Illustrative baseline; not disclosed by Apple.</t>
        </r>
      </text>
    </comment>
    <comment ref="B13" authorId="0" shapeId="0" xr:uid="{00000000-0006-0000-0700-000003000000}">
      <text>
        <r>
          <rPr>
            <sz val="10"/>
            <rFont val="Arial"/>
            <family val="2"/>
          </rPr>
          <t>Illustrative — salary + benefits + overhead, blended across levels.</t>
        </r>
      </text>
    </comment>
    <comment ref="B14" authorId="0" shapeId="0" xr:uid="{00000000-0006-0000-0700-000004000000}">
      <text>
        <r>
          <rPr>
            <sz val="10"/>
            <rFont val="Arial"/>
            <family val="2"/>
          </rPr>
          <t>Illustrative — contractors typically bill at a premium to loaded FTE cost.</t>
        </r>
      </text>
    </comment>
    <comment ref="B21" authorId="0" shapeId="0" xr:uid="{00000000-0006-0000-0700-000005000000}">
      <text>
        <r>
          <rPr>
            <sz val="10"/>
            <rFont val="Arial"/>
            <family val="2"/>
          </rPr>
          <t>Income_Statement row 29 = Selling, General &amp; Administrative. GRS cost is a subset already embedded within reported SG&amp;A — shown here for visibility, not added on top.</t>
        </r>
      </text>
    </comment>
    <comment ref="C21" authorId="0" shapeId="0" xr:uid="{00000000-0006-0000-0700-000006000000}">
      <text>
        <r>
          <rPr>
            <sz val="10"/>
            <rFont val="Arial"/>
            <family val="2"/>
          </rPr>
          <t>Income_Statement row 29 = Selling, General &amp; Administrative. GRS cost is a subset already embedded within reported SG&amp;A — shown here for visibility, not added on top.</t>
        </r>
      </text>
    </comment>
    <comment ref="D21" authorId="0" shapeId="0" xr:uid="{00000000-0006-0000-0700-000007000000}">
      <text>
        <r>
          <rPr>
            <sz val="10"/>
            <rFont val="Arial"/>
            <family val="2"/>
          </rPr>
          <t>Income_Statement row 29 = Selling, General &amp; Administrative. GRS cost is a subset already embedded within reported SG&amp;A — shown here for visibility, not added on top.</t>
        </r>
      </text>
    </comment>
    <comment ref="E21" authorId="0" shapeId="0" xr:uid="{00000000-0006-0000-0700-00000A000000}">
      <text>
        <r>
          <rPr>
            <sz val="10"/>
            <rFont val="Arial"/>
            <family val="2"/>
          </rPr>
          <t>Income_Statement row 29 = Selling, General &amp; Administrative. GRS cost is a subset already embedded within reported SG&amp;A — shown here for visibility, not added on top.</t>
        </r>
      </text>
    </comment>
    <comment ref="F21" authorId="0" shapeId="0" xr:uid="{00000000-0006-0000-0700-00000C000000}">
      <text>
        <r>
          <rPr>
            <sz val="10"/>
            <rFont val="Arial"/>
            <family val="2"/>
          </rPr>
          <t>Income_Statement row 29 = Selling, General &amp; Administrative. GRS cost is a subset already embedded within reported SG&amp;A — shown here for visibility, not added on top.</t>
        </r>
      </text>
    </comment>
    <comment ref="D24" authorId="0" shapeId="0" xr:uid="{00000000-0006-0000-0700-000008000000}">
      <text>
        <r>
          <rPr>
            <sz val="10"/>
            <rFont val="Arial"/>
            <family val="2"/>
          </rPr>
          <t>SCENARIO LEVER — change this cell to test the cost impact of converting contractors to full-time employees.</t>
        </r>
      </text>
    </comment>
    <comment ref="D28" authorId="0" shapeId="0" xr:uid="{00000000-0006-0000-0700-000009000000}">
      <text>
        <r>
          <rPr>
            <sz val="10"/>
            <rFont val="Arial"/>
            <family val="2"/>
          </rPr>
          <t>Negative = cost savings from converting contractors to FTEs (lower blended cost per head); positive = conversion costs more, e.g. if FTE benefits load exceeds contractor bill-rate premium.</t>
        </r>
      </text>
    </comment>
    <comment ref="E28" authorId="0" shapeId="0" xr:uid="{00000000-0006-0000-0700-00000B000000}">
      <text>
        <r>
          <rPr>
            <sz val="10"/>
            <rFont val="Arial"/>
            <family val="2"/>
          </rPr>
          <t>Negative = cost savings from converting contractors to FTEs (lower blended cost per head); positive = conversion costs more, e.g. if FTE benefits load exceeds contractor bill-rate premium.</t>
        </r>
      </text>
    </comment>
    <comment ref="F28" authorId="0" shapeId="0" xr:uid="{00000000-0006-0000-0700-00000D000000}">
      <text>
        <r>
          <rPr>
            <sz val="10"/>
            <rFont val="Arial"/>
            <family val="2"/>
          </rPr>
          <t>Negative = cost savings from converting contractors to FTEs (lower blended cost per head); positive = conversion costs more, e.g. if FTE benefits load exceeds contractor bill-rate premium.</t>
        </r>
      </text>
    </comment>
  </commentList>
</comments>
</file>

<file path=xl/sharedStrings.xml><?xml version="1.0" encoding="utf-8"?>
<sst xmlns="http://schemas.openxmlformats.org/spreadsheetml/2006/main" count="279" uniqueCount="236">
  <si>
    <t>Apple_Retail_FPA_Model.xlsx — Methodology &amp; ReadMe</t>
  </si>
  <si>
    <t>PURPOSE</t>
  </si>
  <si>
    <t>Portfolio-style FP&amp;A model built on Apple Inc.'s actual FY2024–FY2025 financial statements, extended into a 3-statement projection (FY2026E–FY2028E) with a dedicated Retail Net Sales driver structure. This is Phase 1–2 of a 5-phase build (Foundation + Core 3-Statement Model); CapEx/Headcount schedules, BvA automation, and the executive dashboard/portfolio package come in later phases.</t>
  </si>
  <si>
    <t>TAB GUIDE</t>
  </si>
  <si>
    <t>•  Assumptions — every driver used by the model (revenue growth, margins, working-capital days, CapEx/D&amp;A, capital return). Blue = input; a comment on each cell states whether it's an ACTUAL 10-K figure or an analyst ESTIMATE, with the source.</t>
  </si>
  <si>
    <t>•  Income_Statement — builds Total Net Sales from a Retail (Stores + E-Commerce) and Indirect/Wholesale channel structure, then flows through COGS, opex, taxes to Net Income and diluted EPS.</t>
  </si>
  <si>
    <t>•  Balance_Sheet — links working-capital lines to Income Statement drivers (days outstanding), rolls PP&amp;E forward with CapEx and D&amp;A from the Cash Flow tab, and rolls equity forward with Net Income, dividends, buybacks, and stock-based comp. Row 41 is a Balance Check that must equal zero.</t>
  </si>
  <si>
    <t>•  Cash_Flow — indirect-method statement; operating section is driven by Net Income (from the Income Statement) plus the period-over-period change in each Balance Sheet working-capital line. Ending cash links back into the Balance Sheet's Cash line, closing the loop.</t>
  </si>
  <si>
    <t>KEY ASSUMPTION TO FLAG IN AN INTERVIEW</t>
  </si>
  <si>
    <t>Apple's 10-K does not disclose a Retail Stores vs. E-Commerce net sales split, or a store/online split of the year-by-year Direct-vs-Indirect distribution channel mix. It discloses only: (1) net sales by product/service category, (2) net sales by geographic segment, and (3) a single-year FY2025 statement that Direct channels (retail + online stores + direct sales force) were 40% of total net sales and Indirect channels (carriers/resellers) were 60%. This model treats that 40% as the Direct/Retail base, splits it 55% Stores / 45% E-Commerce as a labeled analyst estimate, and grows the three channels (Stores, E-Commerce, Indirect) independently for FY2026E–FY2028E — which is what actually 'drives' Total Net Sales in the projection years, per the project brief. Every estimated cell carries a comment explaining this.</t>
  </si>
  <si>
    <t>SIMPLIFICATIONS (documented, not hidden)</t>
  </si>
  <si>
    <t>•  No revolver/interest circularity — Other Income/(Expense) is held as a flat % of sales rather than computed off the cash balance, so the model has no circular references.</t>
  </si>
  <si>
    <t>•  Marketable securities, commercial paper, and term debt balances are held flat in projections (no treasury/financing-mix strategy modeled).</t>
  </si>
  <si>
    <t>•  Common stock/APIC rollforward adds back stock-based comp only; option exercise proceeds and net-share-settlement tax withholding are not separately modeled (immaterial at this level of granularity).</t>
  </si>
  <si>
    <t>•  Deferred tax assets/liabilities and other tax-timing items are not modeled separately — the provision for income taxes is a flat effective rate applied to pre-tax income.</t>
  </si>
  <si>
    <t>SOURCES</t>
  </si>
  <si>
    <t>Apple Inc. Form 10-K for fiscal year ended September 27, 2025 (SEC EDGAR, filed October 2025); Apple Inc. Q4 FY2025 Condensed Consolidated Financial Statements (apple.com/newsroom, October 30, 2025).</t>
  </si>
  <si>
    <t>Apple Retail FP&amp;A — Executive Dashboard</t>
  </si>
  <si>
    <t>FY2025A actuals vs. FY2026E–FY2028E projections. Source: Income_Statement, Balance_Sheet, Retail_CapEx, GRS_Headcount tabs.</t>
  </si>
  <si>
    <t>FY2025A Net Sales</t>
  </si>
  <si>
    <t>FY2028E Net Sales</t>
  </si>
  <si>
    <t>FY2025A Net Margin</t>
  </si>
  <si>
    <t>FY2028E Net Margin</t>
  </si>
  <si>
    <t>Actual, 10-K</t>
  </si>
  <si>
    <t>Projected</t>
  </si>
  <si>
    <t>Actual</t>
  </si>
  <si>
    <t>FY2025A Retail CapEx</t>
  </si>
  <si>
    <t>FY2028E Retail CapEx</t>
  </si>
  <si>
    <t>FY2025A GRS Run Rate</t>
  </si>
  <si>
    <t>GRS Contractor Mix</t>
  </si>
  <si>
    <t>Estimate, see ReadMe</t>
  </si>
  <si>
    <t>Illustrative</t>
  </si>
  <si>
    <t>FY2025, illustrative</t>
  </si>
  <si>
    <t>CHART DATA (feeds charts below — linked, not hardcoded)</t>
  </si>
  <si>
    <t>Year</t>
  </si>
  <si>
    <t>Total Net Sales ($M)</t>
  </si>
  <si>
    <t>Net Margin %</t>
  </si>
  <si>
    <t>Retail CapEx by Category ($M)</t>
  </si>
  <si>
    <t>New Store Buildouts</t>
  </si>
  <si>
    <t>Store Remodels</t>
  </si>
  <si>
    <t>Retail IT</t>
  </si>
  <si>
    <t>GRS Headcount Mix</t>
  </si>
  <si>
    <t>Corporate FTEs</t>
  </si>
  <si>
    <t>External Contractors</t>
  </si>
  <si>
    <t>Apple Inc. — Retail FP&amp;A Model: Key Assumptions &amp; Drivers</t>
  </si>
  <si>
    <t>Historical figures (FY2024A–FY2025A) are sourced from Apple's FY2025 Form 10-K and Q4 FY2025 earnings release. Projection-year (FY2026E–FY2028E) inputs are analyst assumptions, shown in blue.</t>
  </si>
  <si>
    <t>($ in millions, except per-share and days figures)</t>
  </si>
  <si>
    <t>FY2024A</t>
  </si>
  <si>
    <t>FY2025A</t>
  </si>
  <si>
    <t>FY2026E</t>
  </si>
  <si>
    <t>FY2027E</t>
  </si>
  <si>
    <t>FY2028E</t>
  </si>
  <si>
    <t>REVENUE DRIVERS — RETAIL/CHANNEL BUILD</t>
  </si>
  <si>
    <t>Retail Net Sales – Stores: YoY Growth %</t>
  </si>
  <si>
    <t>Retail Net Sales – E-Commerce: YoY Growth %</t>
  </si>
  <si>
    <t>Indirect / Wholesale Channel: YoY Growth %</t>
  </si>
  <si>
    <t>Retail Stores as % of Direct (Retail) Channel</t>
  </si>
  <si>
    <t>Direct (Retail) Channel as % of Total Net Sales</t>
  </si>
  <si>
    <t>MARGIN &amp; COST DRIVERS</t>
  </si>
  <si>
    <t>Blended Gross Margin %</t>
  </si>
  <si>
    <t>R&amp;D as % of Net Sales</t>
  </si>
  <si>
    <t>SG&amp;A as % of Net Sales</t>
  </si>
  <si>
    <t>Effective Tax Rate</t>
  </si>
  <si>
    <t>Other Income/(Expense), net, as % of Net Sales</t>
  </si>
  <si>
    <t>BALANCE SHEET DRIVERS</t>
  </si>
  <si>
    <t>Accounts Receivable Days (Net Sales basis)</t>
  </si>
  <si>
    <t>Inventory Days (COGS basis)</t>
  </si>
  <si>
    <t>Accounts Payable Days (COGS basis)</t>
  </si>
  <si>
    <t>Vendor Non-Trade Receivables, % of Net Sales</t>
  </si>
  <si>
    <t>Other Current Assets, % of Net Sales</t>
  </si>
  <si>
    <t>Other Non-Current Assets, % of Net Sales</t>
  </si>
  <si>
    <t>Marketable Securities – Current ($M, held flat)</t>
  </si>
  <si>
    <t>Marketable Securities – Non-Current ($M, held flat)</t>
  </si>
  <si>
    <t>Other Current Liabilities, % of Net Sales</t>
  </si>
  <si>
    <t>Deferred Revenue, % of Net Sales</t>
  </si>
  <si>
    <t>Other Non-Current Liabilities, % of Net Sales</t>
  </si>
  <si>
    <t>Commercial Paper ($M, held flat)</t>
  </si>
  <si>
    <t>Term Debt – Current ($M, held flat)</t>
  </si>
  <si>
    <t>Term Debt – Non-Current ($M, held flat)</t>
  </si>
  <si>
    <t>Accumulated Other Comprehensive Income/(Loss) ($M, held flat)</t>
  </si>
  <si>
    <t>CASH FLOW / CAPITAL RETURN DRIVERS</t>
  </si>
  <si>
    <t>Other (Non-Retail) CapEx as % of Net Sales</t>
  </si>
  <si>
    <t>Other (Non-Retail) D&amp;A as % of Net Sales</t>
  </si>
  <si>
    <t>Stock-Based Compensation as % of Net Sales</t>
  </si>
  <si>
    <t>Dividend $ Growth Rate, YoY</t>
  </si>
  <si>
    <t>Share Repurchases ($M per year)</t>
  </si>
  <si>
    <t>Diluted Share Count Growth Rate (buyback effect)</t>
  </si>
  <si>
    <t>Apple Inc. — Consolidated Income Statement (Retail-Driven Build)</t>
  </si>
  <si>
    <t>FY2024A–FY2025A actuals: Apple FY2025 Form 10-K, Consolidated Statements of Operations. FY2026E–FY2028E: projected off Assumptions tab drivers.</t>
  </si>
  <si>
    <t>RETAIL / CHANNEL NET SALES BUILD (modeled — drives Total Net Sales)</t>
  </si>
  <si>
    <t xml:space="preserve">    Retail Net Sales – Stores</t>
  </si>
  <si>
    <t>n/d</t>
  </si>
  <si>
    <t xml:space="preserve">    Retail Net Sales – E-Commerce</t>
  </si>
  <si>
    <t xml:space="preserve">    Total Retail (Direct) Net Sales</t>
  </si>
  <si>
    <t xml:space="preserve">    Indirect / Wholesale Channel Net Sales</t>
  </si>
  <si>
    <t>MEMO: NET SALES BY PRODUCT/SERVICE CATEGORY (as reported)</t>
  </si>
  <si>
    <t xml:space="preserve">    Products</t>
  </si>
  <si>
    <t xml:space="preserve">    Services</t>
  </si>
  <si>
    <t>TOTAL NET SALES</t>
  </si>
  <si>
    <t>Total Net Sales</t>
  </si>
  <si>
    <t xml:space="preserve">    YoY Growth %</t>
  </si>
  <si>
    <t>COST OF SALES &amp; GROSS MARGIN</t>
  </si>
  <si>
    <t xml:space="preserve">    Products Cost of Sales (memo)</t>
  </si>
  <si>
    <t>see blended COGS below</t>
  </si>
  <si>
    <t xml:space="preserve">    Services Cost of Sales (memo)</t>
  </si>
  <si>
    <t>Total Cost of Sales</t>
  </si>
  <si>
    <t>Gross Margin</t>
  </si>
  <si>
    <t xml:space="preserve">    Gross Margin %</t>
  </si>
  <si>
    <t>OPERATING EXPENSES</t>
  </si>
  <si>
    <t xml:space="preserve">    Research &amp; Development</t>
  </si>
  <si>
    <t xml:space="preserve">    Selling, General &amp; Administrative</t>
  </si>
  <si>
    <t>Total Operating Expenses</t>
  </si>
  <si>
    <t>Operating Income</t>
  </si>
  <si>
    <t xml:space="preserve">    Operating Margin %</t>
  </si>
  <si>
    <t>NET INCOME</t>
  </si>
  <si>
    <t xml:space="preserve">    Other Income/(Expense), net</t>
  </si>
  <si>
    <t>Income Before Provision for Income Taxes</t>
  </si>
  <si>
    <t xml:space="preserve">    Provision for Income Taxes</t>
  </si>
  <si>
    <t>Net Income</t>
  </si>
  <si>
    <t xml:space="preserve">    Net Margin %</t>
  </si>
  <si>
    <t>PER-SHARE DATA</t>
  </si>
  <si>
    <t xml:space="preserve">    Diluted Shares Outstanding (000s)</t>
  </si>
  <si>
    <t>Diluted EPS</t>
  </si>
  <si>
    <t>Apple Inc. — Consolidated Balance Sheet</t>
  </si>
  <si>
    <t>FY2024A–FY2025A actuals: Apple FY2025 10-K / Q4 FY2025 earnings release, Condensed Consolidated Balance Sheets. FY2026E–FY2028E: linked to Income Statement &amp; Cash Flow drivers.</t>
  </si>
  <si>
    <t>ASSETS</t>
  </si>
  <si>
    <t xml:space="preserve">    Cash and Cash Equivalents</t>
  </si>
  <si>
    <t xml:space="preserve">    Marketable Securities – Current</t>
  </si>
  <si>
    <t xml:space="preserve">    Accounts Receivable, net</t>
  </si>
  <si>
    <t xml:space="preserve">    Vendor Non-Trade Receivables</t>
  </si>
  <si>
    <t xml:space="preserve">    Inventories</t>
  </si>
  <si>
    <t xml:space="preserve">    Other Current Assets</t>
  </si>
  <si>
    <t>Total Current Assets</t>
  </si>
  <si>
    <t xml:space="preserve">    Marketable Securities – Non-Current</t>
  </si>
  <si>
    <t xml:space="preserve">    Property, Plant &amp; Equipment, net</t>
  </si>
  <si>
    <t xml:space="preserve">    Other Non-Current Assets</t>
  </si>
  <si>
    <t>Total Non-Current Assets</t>
  </si>
  <si>
    <t>TOTAL ASSETS</t>
  </si>
  <si>
    <t>LIABILITIES</t>
  </si>
  <si>
    <t xml:space="preserve">    Accounts Payable</t>
  </si>
  <si>
    <t xml:space="preserve">    Other Current Liabilities</t>
  </si>
  <si>
    <t xml:space="preserve">    Deferred Revenue</t>
  </si>
  <si>
    <t xml:space="preserve">    Commercial Paper</t>
  </si>
  <si>
    <t xml:space="preserve">    Term Debt – Current</t>
  </si>
  <si>
    <t>Total Current Liabilities</t>
  </si>
  <si>
    <t xml:space="preserve">    Term Debt – Non-Current</t>
  </si>
  <si>
    <t xml:space="preserve">    Other Non-Current Liabilities</t>
  </si>
  <si>
    <t>Total Non-Current Liabilities</t>
  </si>
  <si>
    <t>TOTAL LIABILITIES</t>
  </si>
  <si>
    <t>SHAREHOLDERS' EQUITY</t>
  </si>
  <si>
    <t xml:space="preserve">    Common Stock &amp; Additional Paid-In Capital</t>
  </si>
  <si>
    <t xml:space="preserve">    Accumulated Deficit / Retained Earnings</t>
  </si>
  <si>
    <t xml:space="preserve">    Accumulated Other Comprehensive Income/(Loss)</t>
  </si>
  <si>
    <t>Total Shareholders' Equity</t>
  </si>
  <si>
    <t>TOTAL LIABILITIES AND SHAREHOLDERS' EQUITY</t>
  </si>
  <si>
    <t>Balance Check (Assets − Liabilities &amp; Equity; must = 0)</t>
  </si>
  <si>
    <t>Apple Inc. — Consolidated Statement of Cash Flows</t>
  </si>
  <si>
    <t>FY2024A–FY2025A actuals: Apple Q4 FY2025 earnings release, Condensed Consolidated Statements of Cash Flows. FY2026E–FY2028E: derived from Income Statement &amp; Balance Sheet changes (indirect method).</t>
  </si>
  <si>
    <t>OPERATING ACTIVITIES</t>
  </si>
  <si>
    <t xml:space="preserve">    Net Income</t>
  </si>
  <si>
    <t xml:space="preserve">    Depreciation &amp; Amortization</t>
  </si>
  <si>
    <t xml:space="preserve">    Stock-Based Compensation Expense</t>
  </si>
  <si>
    <t xml:space="preserve">    Other Operating Adjustments</t>
  </si>
  <si>
    <t xml:space="preserve">    Δ Accounts Receivable, net</t>
  </si>
  <si>
    <t xml:space="preserve">    Δ Vendor Non-Trade Receivables</t>
  </si>
  <si>
    <t xml:space="preserve">    Δ Inventories</t>
  </si>
  <si>
    <t xml:space="preserve">    Δ Other Current &amp; Non-Current Assets</t>
  </si>
  <si>
    <t xml:space="preserve">    Δ Accounts Payable</t>
  </si>
  <si>
    <t xml:space="preserve">    Δ Other Current &amp; Non-Current Liabilities</t>
  </si>
  <si>
    <t>Cash Generated by Operating Activities</t>
  </si>
  <si>
    <t>INVESTING ACTIVITIES</t>
  </si>
  <si>
    <t xml:space="preserve">    Payments for Acquisition of Property, Plant &amp; Equipment (CapEx)</t>
  </si>
  <si>
    <t xml:space="preserve">    Marketable Securities Activity &amp; Other, net</t>
  </si>
  <si>
    <t>Cash Generated by/(Used in) Investing Activities</t>
  </si>
  <si>
    <t>FINANCING ACTIVITIES</t>
  </si>
  <si>
    <t xml:space="preserve">    Taxes Paid for Net Share Settlement of Equity Awards</t>
  </si>
  <si>
    <t xml:space="preserve">    Dividends &amp; Dividend Equivalents Paid</t>
  </si>
  <si>
    <t xml:space="preserve">    Repurchases of Common Stock</t>
  </si>
  <si>
    <t xml:space="preserve">    Term Debt Issued/(Repaid), net</t>
  </si>
  <si>
    <t xml:space="preserve">    Commercial Paper Issued/(Repaid), net</t>
  </si>
  <si>
    <t xml:space="preserve">    Other Financing Activities</t>
  </si>
  <si>
    <t>Cash Used in Financing Activities</t>
  </si>
  <si>
    <t>Net Increase/(Decrease) in Cash</t>
  </si>
  <si>
    <t xml:space="preserve">    Cash, Beginning of Period</t>
  </si>
  <si>
    <t>Cash, End of Period</t>
  </si>
  <si>
    <t>Apple Inc. — Retail CapEx &amp; Depreciation Schedule</t>
  </si>
  <si>
    <t>ILLUSTRATIVE: Apple's 10-K discloses only total company CapEx and total D&amp;A — not a retail-specific breakdown. This schedule models Retail CapEx as an estimated 15% slice of total company CapEx, split across three categories, and rolls a simplified straight-line depreciation schedule forward. Every blue input is an assumption, not a disclosed figure.</t>
  </si>
  <si>
    <t>($ in millions unless noted)</t>
  </si>
  <si>
    <t>NEW STORE BUILDOUTS</t>
  </si>
  <si>
    <t xml:space="preserve">    New Stores Opened (#)</t>
  </si>
  <si>
    <t xml:space="preserve">    Cost per New Store ($M)</t>
  </si>
  <si>
    <t xml:space="preserve">    New Store Buildout CapEx</t>
  </si>
  <si>
    <t>STORE REMODELS</t>
  </si>
  <si>
    <t xml:space="preserve">    Stores Remodeled (#)</t>
  </si>
  <si>
    <t xml:space="preserve">    Cost per Remodel ($M)</t>
  </si>
  <si>
    <t xml:space="preserve">    Store Remodel CapEx</t>
  </si>
  <si>
    <t>RETAIL IT</t>
  </si>
  <si>
    <t xml:space="preserve">    Retail IT CapEx Growth %, YoY</t>
  </si>
  <si>
    <t xml:space="preserve">    Retail IT CapEx</t>
  </si>
  <si>
    <t>TOTAL RETAIL CAPEX</t>
  </si>
  <si>
    <t>Total Retail CapEx</t>
  </si>
  <si>
    <t xml:space="preserve">    Memo: Retail CapEx as % of Total Company CapEx</t>
  </si>
  <si>
    <t>DEPRECIATION SCHEDULE (simplified straight-line, half-year convention on new CapEx)</t>
  </si>
  <si>
    <t xml:space="preserve">    New Store Buildouts — Useful Life (years)</t>
  </si>
  <si>
    <t xml:space="preserve">    Store Remodels — Useful Life (years)</t>
  </si>
  <si>
    <t xml:space="preserve">    Retail IT — Useful Life (years)</t>
  </si>
  <si>
    <t xml:space="preserve">    Beginning Net Retail PP&amp;E — New Store Buildouts</t>
  </si>
  <si>
    <t xml:space="preserve">    Beginning Net Retail PP&amp;E — Store Remodels</t>
  </si>
  <si>
    <t xml:space="preserve">    Beginning Net Retail PP&amp;E — Retail IT</t>
  </si>
  <si>
    <t xml:space="preserve">    Depreciation — New Store Buildouts</t>
  </si>
  <si>
    <t xml:space="preserve">    Depreciation — Store Remodels</t>
  </si>
  <si>
    <t xml:space="preserve">    Depreciation — Retail IT</t>
  </si>
  <si>
    <t>Total Retail Depreciation</t>
  </si>
  <si>
    <t>Apple Retail — GRS Headcount Schedule (Global Retail Support)</t>
  </si>
  <si>
    <t>ILLUSTRATIVE: Apple discloses only total company headcount (~166,000 FTE as of FY2025, per 10-K). GRS-specific headcount, contractor mix, and cost-per-head are not disclosed — this is a modeled corporate-support cost schedule of the type a Retail FP&amp;A analyst maintains internally.</t>
  </si>
  <si>
    <t>($ in millions unless noted; headcount in whole FTEs/contractors)</t>
  </si>
  <si>
    <t>BASE CASE HEADCOUNT</t>
  </si>
  <si>
    <t xml:space="preserve">    Corporate FTEs (GRS)</t>
  </si>
  <si>
    <t xml:space="preserve">    External Contractors (GRS)</t>
  </si>
  <si>
    <t>Total GRS Headcount</t>
  </si>
  <si>
    <t xml:space="preserve">    Contractors as % of Total Headcount</t>
  </si>
  <si>
    <t>COST ASSUMPTIONS</t>
  </si>
  <si>
    <t xml:space="preserve">    Average Fully-Loaded Cost per FTE ($K/year)</t>
  </si>
  <si>
    <t xml:space="preserve">    Average Cost per Contractor ($K/year, bill rate basis)</t>
  </si>
  <si>
    <t>BASE CASE RUN RATE</t>
  </si>
  <si>
    <t xml:space="preserve">    Total FTE Cost ($M)</t>
  </si>
  <si>
    <t xml:space="preserve">    Total Contractor Cost ($M)</t>
  </si>
  <si>
    <t>Total GRS Annual Run Rate ($M)</t>
  </si>
  <si>
    <t xml:space="preserve">    Total GRS Monthly Run Rate ($M)</t>
  </si>
  <si>
    <t xml:space="preserve">    Memo: GRS Run Rate as % of Total SG&amp;A</t>
  </si>
  <si>
    <t>SCENARIO TOGGLE: CONVERT CONTRACTORS TO FTE</t>
  </si>
  <si>
    <t xml:space="preserve">    Contractors Converted to FTE (#)</t>
  </si>
  <si>
    <t xml:space="preserve">    Scenario: Corporate FTEs (post-conversion)</t>
  </si>
  <si>
    <t xml:space="preserve">    Scenario: External Contractors (post-conversion)</t>
  </si>
  <si>
    <t>Scenario: Total GRS Annual Run Rate ($M)</t>
  </si>
  <si>
    <t>Scenario Impact vs. Base Case ($M/year)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</si>
</sst>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,\B"/>
    <numFmt numFmtId="165" formatCode="0.0%"/>
    <numFmt numFmtId="166" formatCode="\$#,##0;&quot;($&quot;#,##0\);\-"/>
    <numFmt numFmtId="167" formatCode="0.0%;\(0.0%\);\-"/>
    <numFmt numFmtId="168" formatCode="#,##0;\(#,##0\);\-"/>
    <numFmt numFmtId="169" formatCode="0.0;\(0.0\);\-"/>
    <numFmt numFmtId="170" formatCode="\$#,##0.00;&quot;($&quot;#,##0.00\);\-"/>
    <numFmt numFmtId="171" formatCode="\$#,##0.0;&quot;($&quot;#,##0.0\);\-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i/>
      <sz val="10"/>
      <color rgb="FF808080"/>
      <name val="Arial"/>
      <family val="2"/>
    </font>
    <font>
      <b/>
      <sz val="20"/>
      <color rgb="FF1F3864"/>
      <name val="Arial"/>
      <family val="2"/>
    </font>
    <font>
      <sz val="9"/>
      <color rgb="FF80808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/>
    <xf numFmtId="0" fontId="9" fillId="4" borderId="0" xfId="0" applyFont="1" applyFill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9" fillId="4" borderId="1" xfId="0" applyFont="1" applyFill="1" applyBorder="1" applyAlignment="1">
      <alignment horizontal="center"/>
    </xf>
    <xf numFmtId="0" fontId="4" fillId="0" borderId="1" xfId="0" applyFont="1" applyBorder="1"/>
    <xf numFmtId="167" fontId="10" fillId="0" borderId="1" xfId="0" applyNumberFormat="1" applyFont="1" applyBorder="1"/>
    <xf numFmtId="167" fontId="4" fillId="0" borderId="1" xfId="0" applyNumberFormat="1" applyFont="1" applyBorder="1"/>
    <xf numFmtId="169" fontId="10" fillId="0" borderId="1" xfId="0" applyNumberFormat="1" applyFont="1" applyBorder="1"/>
    <xf numFmtId="169" fontId="4" fillId="0" borderId="1" xfId="0" applyNumberFormat="1" applyFont="1" applyBorder="1"/>
    <xf numFmtId="166" fontId="10" fillId="0" borderId="1" xfId="0" applyNumberFormat="1" applyFont="1" applyBorder="1"/>
    <xf numFmtId="166" fontId="4" fillId="0" borderId="1" xfId="0" applyNumberFormat="1" applyFont="1" applyBorder="1"/>
    <xf numFmtId="0" fontId="8" fillId="0" borderId="1" xfId="0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168" fontId="8" fillId="0" borderId="1" xfId="0" applyNumberFormat="1" applyFont="1" applyBorder="1"/>
    <xf numFmtId="0" fontId="11" fillId="0" borderId="1" xfId="0" applyFont="1" applyBorder="1"/>
    <xf numFmtId="166" fontId="11" fillId="0" borderId="1" xfId="0" applyNumberFormat="1" applyFont="1" applyBorder="1"/>
    <xf numFmtId="166" fontId="12" fillId="0" borderId="1" xfId="0" applyNumberFormat="1" applyFont="1" applyBorder="1"/>
    <xf numFmtId="166" fontId="11" fillId="3" borderId="1" xfId="0" applyNumberFormat="1" applyFont="1" applyFill="1" applyBorder="1"/>
    <xf numFmtId="3" fontId="10" fillId="0" borderId="1" xfId="0" applyNumberFormat="1" applyFont="1" applyBorder="1"/>
    <xf numFmtId="3" fontId="4" fillId="0" borderId="1" xfId="0" applyNumberFormat="1" applyFont="1" applyBorder="1"/>
    <xf numFmtId="170" fontId="11" fillId="0" borderId="1" xfId="0" applyNumberFormat="1" applyFont="1" applyBorder="1"/>
    <xf numFmtId="166" fontId="13" fillId="0" borderId="1" xfId="0" applyNumberFormat="1" applyFont="1" applyBorder="1"/>
    <xf numFmtId="166" fontId="11" fillId="5" borderId="1" xfId="0" applyNumberFormat="1" applyFont="1" applyFill="1" applyBorder="1"/>
    <xf numFmtId="168" fontId="10" fillId="0" borderId="1" xfId="0" applyNumberFormat="1" applyFont="1" applyBorder="1"/>
    <xf numFmtId="171" fontId="10" fillId="0" borderId="1" xfId="0" applyNumberFormat="1" applyFont="1" applyBorder="1"/>
    <xf numFmtId="168" fontId="4" fillId="0" borderId="1" xfId="0" applyNumberFormat="1" applyFont="1" applyBorder="1"/>
    <xf numFmtId="168" fontId="11" fillId="0" borderId="1" xfId="0" applyNumberFormat="1" applyFont="1" applyBorder="1"/>
    <xf numFmtId="168" fontId="10" fillId="6" borderId="1" xfId="0" applyNumberFormat="1" applyFont="1" applyFill="1" applyBorder="1"/>
    <xf numFmtId="166" fontId="11" fillId="6" borderId="1" xfId="0" applyNumberFormat="1" applyFont="1" applyFill="1" applyBorder="1"/>
    <xf numFmtId="0" fontId="8" fillId="3" borderId="0" xfId="0" applyFont="1" applyFill="1" applyAlignment="1">
      <alignment horizontal="center"/>
    </xf>
    <xf numFmtId="0" fontId="9" fillId="4" borderId="0" xfId="0" applyFont="1" applyFill="1"/>
    <xf numFmtId="0" fontId="3" fillId="2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3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Net Sales &amp; Net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Total Net Sales ($M)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Dashboard!$C$14:$G$14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Dashboard!$C$15:$G$15</c:f>
              <c:numCache>
                <c:formatCode>\$#,##0;"($"#,##0\);\-</c:formatCode>
                <c:ptCount val="5"/>
                <c:pt idx="0">
                  <c:v>391035</c:v>
                </c:pt>
                <c:pt idx="1">
                  <c:v>416161</c:v>
                </c:pt>
                <c:pt idx="2">
                  <c:v>442295.91080000007</c:v>
                </c:pt>
                <c:pt idx="3">
                  <c:v>469401.30905200006</c:v>
                </c:pt>
                <c:pt idx="4">
                  <c:v>496473.51430264005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08-D94C-9F57-7CE9BAE8A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484604"/>
        <c:axId val="47311985"/>
      </c:lineChart>
      <c:catAx>
        <c:axId val="474846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311985"/>
        <c:crosses val="autoZero"/>
        <c:auto val="1"/>
        <c:lblAlgn val="ctr"/>
        <c:lblOffset val="100"/>
        <c:noMultiLvlLbl val="0"/>
      </c:catAx>
      <c:valAx>
        <c:axId val="473119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Net 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84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Retail CapEx by Category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New Store Buildouts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Dashboard!$C$19:$G$19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Dashboard!$C$20:$G$20</c:f>
              <c:numCache>
                <c:formatCode>\$#,##0;"($"#,##0\);\-</c:formatCode>
                <c:ptCount val="5"/>
                <c:pt idx="0">
                  <c:v>142</c:v>
                </c:pt>
                <c:pt idx="1">
                  <c:v>191</c:v>
                </c:pt>
                <c:pt idx="2">
                  <c:v>192</c:v>
                </c:pt>
                <c:pt idx="3">
                  <c:v>212.5</c:v>
                </c:pt>
                <c:pt idx="4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8-FD4C-8341-80AA3CC4C1B9}"/>
            </c:ext>
          </c:extLst>
        </c:ser>
        <c:ser>
          <c:idx val="1"/>
          <c:order val="1"/>
          <c:tx>
            <c:strRef>
              <c:f>Dashboard!$B$21</c:f>
              <c:strCache>
                <c:ptCount val="1"/>
                <c:pt idx="0">
                  <c:v>Store Remodels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Dashboard!$C$19:$G$19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Dashboard!$C$21:$G$21</c:f>
              <c:numCache>
                <c:formatCode>\$#,##0;"($"#,##0\);\-</c:formatCode>
                <c:ptCount val="5"/>
                <c:pt idx="0">
                  <c:v>255</c:v>
                </c:pt>
                <c:pt idx="1">
                  <c:v>343</c:v>
                </c:pt>
                <c:pt idx="2">
                  <c:v>345</c:v>
                </c:pt>
                <c:pt idx="3">
                  <c:v>369.2</c:v>
                </c:pt>
                <c:pt idx="4">
                  <c:v>394.20000000000005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8-FD4C-8341-80AA3CC4C1B9}"/>
            </c:ext>
          </c:extLst>
        </c:ser>
        <c:ser>
          <c:idx val="2"/>
          <c:order val="2"/>
          <c:tx>
            <c:strRef>
              <c:f>Dashboard!$B$22</c:f>
              <c:strCache>
                <c:ptCount val="1"/>
                <c:pt idx="0">
                  <c:v>Retail 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Dashboard!$C$19:$G$19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Dashboard!$C$22:$G$22</c:f>
              <c:numCache>
                <c:formatCode>\$#,##0;"($"#,##0\);\-</c:formatCode>
                <c:ptCount val="5"/>
                <c:pt idx="0">
                  <c:v>170</c:v>
                </c:pt>
                <c:pt idx="1">
                  <c:v>229</c:v>
                </c:pt>
                <c:pt idx="2">
                  <c:v>247.32000000000002</c:v>
                </c:pt>
                <c:pt idx="3">
                  <c:v>267.10560000000004</c:v>
                </c:pt>
                <c:pt idx="4">
                  <c:v>285.80299200000007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8-FD4C-8341-80AA3CC4C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23717"/>
        <c:axId val="38247847"/>
      </c:barChart>
      <c:catAx>
        <c:axId val="16523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47847"/>
        <c:crosses val="autoZero"/>
        <c:auto val="1"/>
        <c:lblAlgn val="ctr"/>
        <c:lblOffset val="100"/>
        <c:noMultiLvlLbl val="0"/>
      </c:catAx>
      <c:valAx>
        <c:axId val="382478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23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GRS Headcount: Corporate FTE vs. Contractor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Corporate FTEs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Dashboard!$C$25:$G$25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Dashboard!$C$26:$G$26</c:f>
              <c:numCache>
                <c:formatCode>#,##0;\(#,##0\);\-</c:formatCode>
                <c:ptCount val="5"/>
                <c:pt idx="0">
                  <c:v>2750</c:v>
                </c:pt>
                <c:pt idx="1">
                  <c:v>2900</c:v>
                </c:pt>
                <c:pt idx="2">
                  <c:v>3050</c:v>
                </c:pt>
                <c:pt idx="3">
                  <c:v>3150</c:v>
                </c:pt>
                <c:pt idx="4">
                  <c:v>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7-F649-9D92-8F6848FA80FD}"/>
            </c:ext>
          </c:extLst>
        </c:ser>
        <c:ser>
          <c:idx val="1"/>
          <c:order val="1"/>
          <c:tx>
            <c:strRef>
              <c:f>Dashboard!$B$27</c:f>
              <c:strCache>
                <c:ptCount val="1"/>
                <c:pt idx="0">
                  <c:v>External Contractors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Dashboard!$C$25:$G$25</c:f>
              <c:strCache>
                <c:ptCount val="5"/>
                <c:pt idx="0">
                  <c:v>FY2024A</c:v>
                </c:pt>
                <c:pt idx="1">
                  <c:v>FY2025A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Dashboard!$C$27:$G$27</c:f>
              <c:numCache>
                <c:formatCode>#,##0;\(#,##0\);\-</c:formatCode>
                <c:ptCount val="5"/>
                <c:pt idx="0">
                  <c:v>820</c:v>
                </c:pt>
                <c:pt idx="1">
                  <c:v>900</c:v>
                </c:pt>
                <c:pt idx="2">
                  <c:v>950</c:v>
                </c:pt>
                <c:pt idx="3">
                  <c:v>970</c:v>
                </c:pt>
                <c:pt idx="4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7-F649-9D92-8F6848FA8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75226"/>
        <c:axId val="26249457"/>
      </c:barChart>
      <c:catAx>
        <c:axId val="144752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49457"/>
        <c:crosses val="autoZero"/>
        <c:auto val="1"/>
        <c:lblAlgn val="ctr"/>
        <c:lblOffset val="100"/>
        <c:noMultiLvlLbl val="0"/>
      </c:catAx>
      <c:valAx>
        <c:axId val="262494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75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177800</xdr:colOff>
      <xdr:row>0</xdr:row>
      <xdr:rowOff>0</xdr:rowOff>
    </xdr:from>
    <xdr:to>
      <xdr:col>17</xdr:col>
      <xdr:colOff>424680</xdr:colOff>
      <xdr:row>13</xdr:row>
      <xdr:rowOff>150860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50800</xdr:colOff>
      <xdr:row>27</xdr:row>
      <xdr:rowOff>130680</xdr:rowOff>
    </xdr:from>
    <xdr:to>
      <xdr:col>5</xdr:col>
      <xdr:colOff>475480</xdr:colOff>
      <xdr:row>43</xdr:row>
      <xdr:rowOff>141840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88900</xdr:colOff>
      <xdr:row>13</xdr:row>
      <xdr:rowOff>29080</xdr:rowOff>
    </xdr:from>
    <xdr:to>
      <xdr:col>13</xdr:col>
      <xdr:colOff>526460</xdr:colOff>
      <xdr:row>43</xdr:row>
      <xdr:rowOff>73000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topLeftCell="B5" zoomScaleNormal="100" workbookViewId="0">
      <selection activeCell="D9" sqref="D9"/>
    </sheetView>
  </sheetViews>
  <sheetFormatPr baseColWidth="10" defaultColWidth="8.6640625" defaultRowHeight="15" x14ac:dyDescent="0.2"/>
  <cols>
    <col min="1" max="1" width="4" customWidth="1"/>
    <col min="2" max="2" width="110" customWidth="1"/>
    <col min="3" max="6" width="14" customWidth="1"/>
  </cols>
  <sheetData>
    <row r="1" spans="1:2" ht="17.25" customHeight="1" x14ac:dyDescent="0.2">
      <c r="A1" s="3"/>
      <c r="B1" s="41" t="s">
        <v>0</v>
      </c>
    </row>
    <row r="2" spans="1:2" x14ac:dyDescent="0.2">
      <c r="A2" s="3"/>
      <c r="B2" s="3"/>
    </row>
    <row r="3" spans="1:2" ht="15" customHeight="1" x14ac:dyDescent="0.2">
      <c r="A3" s="42"/>
      <c r="B3" s="43" t="s">
        <v>1</v>
      </c>
    </row>
    <row r="4" spans="1:2" ht="48" customHeight="1" x14ac:dyDescent="0.2">
      <c r="A4" s="3"/>
      <c r="B4" s="44" t="s">
        <v>2</v>
      </c>
    </row>
    <row r="5" spans="1:2" x14ac:dyDescent="0.2">
      <c r="A5" s="3"/>
      <c r="B5" s="3"/>
    </row>
    <row r="6" spans="1:2" ht="15" customHeight="1" x14ac:dyDescent="0.2">
      <c r="A6" s="42"/>
      <c r="B6" s="43" t="s">
        <v>3</v>
      </c>
    </row>
    <row r="7" spans="1:2" ht="56" customHeight="1" x14ac:dyDescent="0.2">
      <c r="A7" s="3"/>
      <c r="B7" s="44" t="s">
        <v>4</v>
      </c>
    </row>
    <row r="8" spans="1:2" ht="58" customHeight="1" x14ac:dyDescent="0.2">
      <c r="A8" s="3"/>
      <c r="B8" s="44" t="s">
        <v>5</v>
      </c>
    </row>
    <row r="9" spans="1:2" ht="64" customHeight="1" x14ac:dyDescent="0.2">
      <c r="A9" s="3"/>
      <c r="B9" s="44" t="s">
        <v>6</v>
      </c>
    </row>
    <row r="10" spans="1:2" ht="40" customHeight="1" x14ac:dyDescent="0.2">
      <c r="A10" s="3"/>
      <c r="B10" s="44" t="s">
        <v>7</v>
      </c>
    </row>
    <row r="11" spans="1:2" x14ac:dyDescent="0.2">
      <c r="A11" s="3"/>
      <c r="B11" s="3"/>
    </row>
    <row r="12" spans="1:2" ht="15" customHeight="1" x14ac:dyDescent="0.2">
      <c r="A12" s="42"/>
      <c r="B12" s="43" t="s">
        <v>8</v>
      </c>
    </row>
    <row r="13" spans="1:2" ht="79.5" customHeight="1" x14ac:dyDescent="0.2">
      <c r="A13" s="3"/>
      <c r="B13" s="44" t="s">
        <v>9</v>
      </c>
    </row>
    <row r="14" spans="1:2" x14ac:dyDescent="0.2">
      <c r="A14" s="3"/>
      <c r="B14" s="3"/>
    </row>
    <row r="15" spans="1:2" ht="15" customHeight="1" x14ac:dyDescent="0.2">
      <c r="A15" s="42"/>
      <c r="B15" s="43" t="s">
        <v>10</v>
      </c>
    </row>
    <row r="16" spans="1:2" ht="33" customHeight="1" x14ac:dyDescent="0.2">
      <c r="A16" s="3"/>
      <c r="B16" s="44" t="s">
        <v>11</v>
      </c>
    </row>
    <row r="17" spans="1:2" ht="31" customHeight="1" x14ac:dyDescent="0.2">
      <c r="A17" s="3"/>
      <c r="B17" s="44" t="s">
        <v>12</v>
      </c>
    </row>
    <row r="18" spans="1:2" ht="40" customHeight="1" x14ac:dyDescent="0.2">
      <c r="A18" s="3"/>
      <c r="B18" s="44" t="s">
        <v>13</v>
      </c>
    </row>
    <row r="19" spans="1:2" ht="41" customHeight="1" x14ac:dyDescent="0.2">
      <c r="A19" s="3"/>
      <c r="B19" s="44" t="s">
        <v>14</v>
      </c>
    </row>
    <row r="20" spans="1:2" x14ac:dyDescent="0.2">
      <c r="A20" s="3"/>
      <c r="B20" s="3"/>
    </row>
    <row r="21" spans="1:2" ht="15" customHeight="1" x14ac:dyDescent="0.2">
      <c r="A21" s="42"/>
      <c r="B21" s="43" t="s">
        <v>15</v>
      </c>
    </row>
    <row r="22" spans="1:2" ht="35" customHeight="1" x14ac:dyDescent="0.2">
      <c r="A22" s="3"/>
      <c r="B22" s="4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showGridLines="0" topLeftCell="A3" zoomScaleNormal="100" workbookViewId="0">
      <selection activeCell="F29" sqref="F29"/>
    </sheetView>
  </sheetViews>
  <sheetFormatPr baseColWidth="10" defaultColWidth="8.6640625" defaultRowHeight="15" x14ac:dyDescent="0.2"/>
  <cols>
    <col min="1" max="1" width="3" customWidth="1"/>
    <col min="2" max="2" width="25" customWidth="1"/>
    <col min="3" max="11" width="16" customWidth="1"/>
    <col min="12" max="12" width="3" customWidth="1"/>
  </cols>
  <sheetData>
    <row r="2" spans="2:11" ht="19.5" customHeight="1" x14ac:dyDescent="0.2">
      <c r="B2" s="37" t="s">
        <v>17</v>
      </c>
      <c r="C2" s="37"/>
      <c r="D2" s="37"/>
      <c r="E2" s="37"/>
      <c r="F2" s="37"/>
      <c r="G2" s="37"/>
      <c r="H2" s="37"/>
      <c r="I2" s="37"/>
      <c r="J2" s="37"/>
      <c r="K2" s="37"/>
    </row>
    <row r="3" spans="2:11" ht="15" customHeight="1" x14ac:dyDescent="0.2">
      <c r="B3" s="38" t="s">
        <v>18</v>
      </c>
      <c r="C3" s="38"/>
      <c r="D3" s="38"/>
      <c r="E3" s="38"/>
      <c r="F3" s="38"/>
      <c r="G3" s="38"/>
      <c r="H3" s="38"/>
      <c r="I3" s="38"/>
      <c r="J3" s="38"/>
      <c r="K3" s="38"/>
    </row>
    <row r="5" spans="2:11" ht="15.75" customHeight="1" x14ac:dyDescent="0.2">
      <c r="B5" s="34" t="s">
        <v>19</v>
      </c>
      <c r="C5" s="34"/>
      <c r="D5" s="34" t="s">
        <v>20</v>
      </c>
      <c r="E5" s="34"/>
      <c r="F5" s="34" t="s">
        <v>21</v>
      </c>
      <c r="G5" s="34"/>
      <c r="H5" s="34" t="s">
        <v>22</v>
      </c>
      <c r="I5" s="34"/>
    </row>
    <row r="6" spans="2:11" ht="30" customHeight="1" x14ac:dyDescent="0.25">
      <c r="B6" s="35">
        <f>Income_Statement!C17</f>
        <v>416161</v>
      </c>
      <c r="C6" s="35"/>
      <c r="D6" s="35">
        <f>Income_Statement!F17</f>
        <v>496473.51430264005</v>
      </c>
      <c r="E6" s="35"/>
      <c r="F6" s="36">
        <f>Income_Statement!C39</f>
        <v>0.26915064121818238</v>
      </c>
      <c r="G6" s="36"/>
      <c r="H6" s="36">
        <f>Income_Statement!F39</f>
        <v>0.28559999999999997</v>
      </c>
      <c r="I6" s="36"/>
    </row>
    <row r="7" spans="2:11" ht="15" customHeight="1" x14ac:dyDescent="0.2">
      <c r="B7" s="32" t="s">
        <v>23</v>
      </c>
      <c r="C7" s="32"/>
      <c r="D7" s="32" t="s">
        <v>24</v>
      </c>
      <c r="E7" s="32"/>
      <c r="F7" s="32" t="s">
        <v>25</v>
      </c>
      <c r="G7" s="32"/>
      <c r="H7" s="32" t="s">
        <v>24</v>
      </c>
      <c r="I7" s="32"/>
    </row>
    <row r="9" spans="2:11" ht="15.75" customHeight="1" x14ac:dyDescent="0.2">
      <c r="B9" s="34" t="s">
        <v>26</v>
      </c>
      <c r="C9" s="34"/>
      <c r="D9" s="34" t="s">
        <v>27</v>
      </c>
      <c r="E9" s="34"/>
      <c r="F9" s="34" t="s">
        <v>28</v>
      </c>
      <c r="G9" s="34"/>
      <c r="H9" s="34" t="s">
        <v>29</v>
      </c>
      <c r="I9" s="34"/>
    </row>
    <row r="10" spans="2:11" ht="30" customHeight="1" x14ac:dyDescent="0.25">
      <c r="B10" s="35">
        <f>Retail_CapEx!C21</f>
        <v>763</v>
      </c>
      <c r="C10" s="35"/>
      <c r="D10" s="35">
        <f>Retail_CapEx!F21</f>
        <v>914.00299200000018</v>
      </c>
      <c r="E10" s="35"/>
      <c r="F10" s="35">
        <f>GRS_Headcount!C19</f>
        <v>683.3</v>
      </c>
      <c r="G10" s="35"/>
      <c r="H10" s="36">
        <f>GRS_Headcount!C10</f>
        <v>0.23684210526315788</v>
      </c>
      <c r="I10" s="36"/>
    </row>
    <row r="11" spans="2:11" ht="15" customHeight="1" x14ac:dyDescent="0.2">
      <c r="B11" s="32" t="s">
        <v>30</v>
      </c>
      <c r="C11" s="32"/>
      <c r="D11" s="32" t="s">
        <v>24</v>
      </c>
      <c r="E11" s="32"/>
      <c r="F11" s="32" t="s">
        <v>31</v>
      </c>
      <c r="G11" s="32"/>
      <c r="H11" s="32" t="s">
        <v>32</v>
      </c>
      <c r="I11" s="32"/>
    </row>
    <row r="13" spans="2:11" ht="15" customHeight="1" x14ac:dyDescent="0.2">
      <c r="B13" s="33" t="s">
        <v>33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2:11" ht="15" customHeight="1" x14ac:dyDescent="0.2">
      <c r="B14" s="13" t="s">
        <v>34</v>
      </c>
      <c r="C14" s="13" t="str">
        <f>Income_Statement!B4</f>
        <v>FY2024A</v>
      </c>
      <c r="D14" s="13" t="str">
        <f>Income_Statement!C4</f>
        <v>FY2025A</v>
      </c>
      <c r="E14" s="13" t="str">
        <f>Income_Statement!D4</f>
        <v>FY2026E</v>
      </c>
      <c r="F14" s="13" t="str">
        <f>Income_Statement!E4</f>
        <v>FY2027E</v>
      </c>
      <c r="G14" s="13" t="str">
        <f>Income_Statement!F4</f>
        <v>FY2028E</v>
      </c>
    </row>
    <row r="15" spans="2:11" ht="15" customHeight="1" x14ac:dyDescent="0.2">
      <c r="B15" s="13" t="s">
        <v>35</v>
      </c>
      <c r="C15" s="14">
        <f>Income_Statement!B17</f>
        <v>391035</v>
      </c>
      <c r="D15" s="14">
        <f>Income_Statement!C17</f>
        <v>416161</v>
      </c>
      <c r="E15" s="14">
        <f>Income_Statement!D17</f>
        <v>442295.91080000007</v>
      </c>
      <c r="F15" s="14">
        <f>Income_Statement!E17</f>
        <v>469401.30905200006</v>
      </c>
      <c r="G15" s="14">
        <f>Income_Statement!F17</f>
        <v>496473.51430264005</v>
      </c>
    </row>
    <row r="16" spans="2:11" ht="15" customHeight="1" x14ac:dyDescent="0.2">
      <c r="B16" s="13" t="s">
        <v>36</v>
      </c>
      <c r="C16" s="15">
        <f>Income_Statement!B39</f>
        <v>0.23971255769943867</v>
      </c>
      <c r="D16" s="15">
        <f>Income_Statement!C39</f>
        <v>0.26915064121818238</v>
      </c>
      <c r="E16" s="15">
        <f>Income_Statement!D39</f>
        <v>0.27467999999999998</v>
      </c>
      <c r="F16" s="15">
        <f>Income_Statement!E39</f>
        <v>0.27971999999999997</v>
      </c>
      <c r="G16" s="15">
        <f>Income_Statement!F39</f>
        <v>0.28559999999999997</v>
      </c>
    </row>
    <row r="18" spans="2:7" ht="15" customHeight="1" x14ac:dyDescent="0.2">
      <c r="B18" s="3" t="s">
        <v>37</v>
      </c>
      <c r="C18" s="3"/>
      <c r="D18" s="3"/>
      <c r="E18" s="3"/>
      <c r="F18" s="3"/>
      <c r="G18" s="3"/>
    </row>
    <row r="19" spans="2:7" ht="15" customHeight="1" x14ac:dyDescent="0.2">
      <c r="B19" s="13"/>
      <c r="C19" s="13" t="str">
        <f>Income_Statement!B4</f>
        <v>FY2024A</v>
      </c>
      <c r="D19" s="13" t="str">
        <f>Income_Statement!C4</f>
        <v>FY2025A</v>
      </c>
      <c r="E19" s="13" t="str">
        <f>Income_Statement!D4</f>
        <v>FY2026E</v>
      </c>
      <c r="F19" s="13" t="str">
        <f>Income_Statement!E4</f>
        <v>FY2027E</v>
      </c>
      <c r="G19" s="13" t="str">
        <f>Income_Statement!F4</f>
        <v>FY2028E</v>
      </c>
    </row>
    <row r="20" spans="2:7" ht="15" customHeight="1" x14ac:dyDescent="0.2">
      <c r="B20" s="13" t="s">
        <v>38</v>
      </c>
      <c r="C20" s="14">
        <f>Retail_CapEx!B9</f>
        <v>142</v>
      </c>
      <c r="D20" s="14">
        <f>Retail_CapEx!C9</f>
        <v>191</v>
      </c>
      <c r="E20" s="14">
        <f>Retail_CapEx!D9</f>
        <v>192</v>
      </c>
      <c r="F20" s="14">
        <f>Retail_CapEx!E9</f>
        <v>212.5</v>
      </c>
      <c r="G20" s="14">
        <f>Retail_CapEx!F9</f>
        <v>234</v>
      </c>
    </row>
    <row r="21" spans="2:7" ht="15" customHeight="1" x14ac:dyDescent="0.2">
      <c r="B21" s="13" t="s">
        <v>39</v>
      </c>
      <c r="C21" s="14">
        <f>Retail_CapEx!B14</f>
        <v>255</v>
      </c>
      <c r="D21" s="14">
        <f>Retail_CapEx!C14</f>
        <v>343</v>
      </c>
      <c r="E21" s="14">
        <f>Retail_CapEx!D14</f>
        <v>345</v>
      </c>
      <c r="F21" s="14">
        <f>Retail_CapEx!E14</f>
        <v>369.2</v>
      </c>
      <c r="G21" s="14">
        <f>Retail_CapEx!F14</f>
        <v>394.20000000000005</v>
      </c>
    </row>
    <row r="22" spans="2:7" ht="15" customHeight="1" x14ac:dyDescent="0.2">
      <c r="B22" s="13" t="s">
        <v>40</v>
      </c>
      <c r="C22" s="14">
        <f>Retail_CapEx!B18</f>
        <v>170</v>
      </c>
      <c r="D22" s="14">
        <f>Retail_CapEx!C18</f>
        <v>229</v>
      </c>
      <c r="E22" s="14">
        <f>Retail_CapEx!D18</f>
        <v>247.32000000000002</v>
      </c>
      <c r="F22" s="14">
        <f>Retail_CapEx!E18</f>
        <v>267.10560000000004</v>
      </c>
      <c r="G22" s="14">
        <f>Retail_CapEx!F18</f>
        <v>285.80299200000007</v>
      </c>
    </row>
    <row r="24" spans="2:7" ht="15" customHeight="1" x14ac:dyDescent="0.2">
      <c r="B24" s="3" t="s">
        <v>41</v>
      </c>
      <c r="C24" s="3"/>
      <c r="D24" s="3"/>
      <c r="E24" s="3"/>
      <c r="F24" s="3"/>
      <c r="G24" s="3"/>
    </row>
    <row r="25" spans="2:7" ht="15" customHeight="1" x14ac:dyDescent="0.2">
      <c r="B25" s="13"/>
      <c r="C25" s="13" t="str">
        <f>Income_Statement!B4</f>
        <v>FY2024A</v>
      </c>
      <c r="D25" s="13" t="str">
        <f>Income_Statement!C4</f>
        <v>FY2025A</v>
      </c>
      <c r="E25" s="13" t="str">
        <f>Income_Statement!D4</f>
        <v>FY2026E</v>
      </c>
      <c r="F25" s="13" t="str">
        <f>Income_Statement!E4</f>
        <v>FY2027E</v>
      </c>
      <c r="G25" s="13" t="str">
        <f>Income_Statement!F4</f>
        <v>FY2028E</v>
      </c>
    </row>
    <row r="26" spans="2:7" ht="15" customHeight="1" x14ac:dyDescent="0.2">
      <c r="B26" s="13" t="s">
        <v>42</v>
      </c>
      <c r="C26" s="16">
        <f>GRS_Headcount!B7</f>
        <v>2750</v>
      </c>
      <c r="D26" s="16">
        <f>GRS_Headcount!C7</f>
        <v>2900</v>
      </c>
      <c r="E26" s="16">
        <f>GRS_Headcount!D7</f>
        <v>3050</v>
      </c>
      <c r="F26" s="16">
        <f>GRS_Headcount!E7</f>
        <v>3150</v>
      </c>
      <c r="G26" s="16">
        <f>GRS_Headcount!F7</f>
        <v>3250</v>
      </c>
    </row>
    <row r="27" spans="2:7" ht="15" customHeight="1" x14ac:dyDescent="0.2">
      <c r="B27" s="13" t="s">
        <v>43</v>
      </c>
      <c r="C27" s="16">
        <f>GRS_Headcount!B8</f>
        <v>820</v>
      </c>
      <c r="D27" s="16">
        <f>GRS_Headcount!C8</f>
        <v>900</v>
      </c>
      <c r="E27" s="16">
        <f>GRS_Headcount!D8</f>
        <v>950</v>
      </c>
      <c r="F27" s="16">
        <f>GRS_Headcount!E8</f>
        <v>970</v>
      </c>
      <c r="G27" s="16">
        <f>GRS_Headcount!F8</f>
        <v>980</v>
      </c>
    </row>
  </sheetData>
  <mergeCells count="27">
    <mergeCell ref="B2:K2"/>
    <mergeCell ref="B3:K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3:K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10" defaultColWidth="8.6640625" defaultRowHeight="15" x14ac:dyDescent="0.2"/>
  <cols>
    <col min="1" max="1" width="96" customWidth="1"/>
    <col min="2" max="5" width="14" customWidth="1"/>
    <col min="6" max="6" width="19.1640625" customWidth="1"/>
  </cols>
  <sheetData>
    <row r="1" spans="1:6" ht="17.25" customHeight="1" x14ac:dyDescent="0.2">
      <c r="A1" s="40" t="s">
        <v>44</v>
      </c>
      <c r="B1" s="40"/>
      <c r="C1" s="40"/>
      <c r="D1" s="40"/>
      <c r="E1" s="40"/>
      <c r="F1" s="40"/>
    </row>
    <row r="2" spans="1:6" ht="15" customHeight="1" x14ac:dyDescent="0.2">
      <c r="A2" s="38" t="s">
        <v>45</v>
      </c>
      <c r="B2" s="38"/>
      <c r="C2" s="38"/>
      <c r="D2" s="38"/>
      <c r="E2" s="38"/>
      <c r="F2" s="38"/>
    </row>
    <row r="4" spans="1:6" ht="15" customHeight="1" x14ac:dyDescent="0.2">
      <c r="A4" s="4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</row>
    <row r="5" spans="1:6" x14ac:dyDescent="0.2">
      <c r="A5" s="3"/>
      <c r="B5" s="3"/>
      <c r="C5" s="3"/>
      <c r="D5" s="3"/>
      <c r="E5" s="3"/>
      <c r="F5" s="3"/>
    </row>
    <row r="6" spans="1:6" ht="15" customHeight="1" x14ac:dyDescent="0.2">
      <c r="A6" s="39" t="s">
        <v>52</v>
      </c>
      <c r="B6" s="39"/>
      <c r="C6" s="39"/>
      <c r="D6" s="39"/>
      <c r="E6" s="39"/>
      <c r="F6" s="39"/>
    </row>
    <row r="7" spans="1:6" x14ac:dyDescent="0.2">
      <c r="A7" s="3"/>
      <c r="B7" s="3"/>
      <c r="C7" s="3"/>
      <c r="D7" s="3"/>
      <c r="E7" s="3"/>
      <c r="F7" s="3"/>
    </row>
    <row r="8" spans="1:6" ht="15" customHeight="1" x14ac:dyDescent="0.2">
      <c r="A8" s="6" t="s">
        <v>53</v>
      </c>
      <c r="B8" s="3"/>
      <c r="C8" s="3"/>
      <c r="D8" s="7">
        <v>0.04</v>
      </c>
      <c r="E8" s="7">
        <v>0.04</v>
      </c>
      <c r="F8" s="7">
        <v>4.4999999999999998E-2</v>
      </c>
    </row>
    <row r="9" spans="1:6" ht="15" customHeight="1" x14ac:dyDescent="0.2">
      <c r="A9" s="6" t="s">
        <v>54</v>
      </c>
      <c r="B9" s="3"/>
      <c r="C9" s="3"/>
      <c r="D9" s="7">
        <v>0.1</v>
      </c>
      <c r="E9" s="7">
        <v>0.09</v>
      </c>
      <c r="F9" s="7">
        <v>0.08</v>
      </c>
    </row>
    <row r="10" spans="1:6" ht="15" customHeight="1" x14ac:dyDescent="0.2">
      <c r="A10" s="6" t="s">
        <v>55</v>
      </c>
      <c r="B10" s="3"/>
      <c r="C10" s="3"/>
      <c r="D10" s="7">
        <v>0.06</v>
      </c>
      <c r="E10" s="7">
        <v>0.06</v>
      </c>
      <c r="F10" s="7">
        <v>5.5E-2</v>
      </c>
    </row>
    <row r="11" spans="1:6" ht="15" customHeight="1" x14ac:dyDescent="0.2">
      <c r="A11" s="6" t="s">
        <v>56</v>
      </c>
      <c r="B11" s="3"/>
      <c r="C11" s="7">
        <v>0.55000000000000004</v>
      </c>
      <c r="D11" s="8">
        <f>C11</f>
        <v>0.55000000000000004</v>
      </c>
      <c r="E11" s="8">
        <f>C11</f>
        <v>0.55000000000000004</v>
      </c>
      <c r="F11" s="8">
        <f>C11</f>
        <v>0.55000000000000004</v>
      </c>
    </row>
    <row r="12" spans="1:6" ht="15" customHeight="1" x14ac:dyDescent="0.2">
      <c r="A12" s="6" t="s">
        <v>57</v>
      </c>
      <c r="B12" s="3"/>
      <c r="C12" s="7">
        <v>0.4</v>
      </c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ht="15" customHeight="1" x14ac:dyDescent="0.2">
      <c r="A14" s="39" t="s">
        <v>58</v>
      </c>
      <c r="B14" s="39"/>
      <c r="C14" s="39"/>
      <c r="D14" s="39"/>
      <c r="E14" s="39"/>
      <c r="F14" s="39"/>
    </row>
    <row r="15" spans="1:6" x14ac:dyDescent="0.2">
      <c r="A15" s="3"/>
      <c r="B15" s="3"/>
      <c r="C15" s="3"/>
      <c r="D15" s="3"/>
      <c r="E15" s="3"/>
      <c r="F15" s="3"/>
    </row>
    <row r="16" spans="1:6" ht="15" customHeight="1" x14ac:dyDescent="0.2">
      <c r="A16" s="6" t="s">
        <v>59</v>
      </c>
      <c r="B16" s="3"/>
      <c r="C16" s="7">
        <v>0.46899999999999997</v>
      </c>
      <c r="D16" s="7">
        <v>0.47299999999999998</v>
      </c>
      <c r="E16" s="7">
        <v>0.47799999999999998</v>
      </c>
      <c r="F16" s="7">
        <v>0.48199999999999998</v>
      </c>
    </row>
    <row r="17" spans="1:6" ht="15" customHeight="1" x14ac:dyDescent="0.2">
      <c r="A17" s="6" t="s">
        <v>60</v>
      </c>
      <c r="B17" s="3"/>
      <c r="C17" s="7">
        <v>8.3000000000000004E-2</v>
      </c>
      <c r="D17" s="7">
        <v>0.08</v>
      </c>
      <c r="E17" s="7">
        <v>0.08</v>
      </c>
      <c r="F17" s="7">
        <v>7.8E-2</v>
      </c>
    </row>
    <row r="18" spans="1:6" ht="15" customHeight="1" x14ac:dyDescent="0.2">
      <c r="A18" s="6" t="s">
        <v>61</v>
      </c>
      <c r="B18" s="3"/>
      <c r="C18" s="7">
        <v>6.6299999999999998E-2</v>
      </c>
      <c r="D18" s="7">
        <v>6.6000000000000003E-2</v>
      </c>
      <c r="E18" s="7">
        <v>6.5000000000000002E-2</v>
      </c>
      <c r="F18" s="7">
        <v>6.4000000000000001E-2</v>
      </c>
    </row>
    <row r="19" spans="1:6" ht="15" customHeight="1" x14ac:dyDescent="0.2">
      <c r="A19" s="6" t="s">
        <v>62</v>
      </c>
      <c r="B19" s="3"/>
      <c r="C19" s="7">
        <v>0.156</v>
      </c>
      <c r="D19" s="7">
        <v>0.16</v>
      </c>
      <c r="E19" s="7">
        <v>0.16</v>
      </c>
      <c r="F19" s="7">
        <v>0.16</v>
      </c>
    </row>
    <row r="20" spans="1:6" ht="15" customHeight="1" x14ac:dyDescent="0.2">
      <c r="A20" s="6" t="s">
        <v>63</v>
      </c>
      <c r="B20" s="3"/>
      <c r="C20" s="3"/>
      <c r="D20" s="7">
        <v>0</v>
      </c>
      <c r="E20" s="7">
        <v>0</v>
      </c>
      <c r="F20" s="7">
        <v>0</v>
      </c>
    </row>
    <row r="21" spans="1:6" x14ac:dyDescent="0.2">
      <c r="A21" s="3"/>
      <c r="B21" s="3"/>
      <c r="C21" s="3"/>
      <c r="D21" s="3"/>
      <c r="E21" s="3"/>
      <c r="F21" s="3"/>
    </row>
    <row r="22" spans="1:6" ht="15" customHeight="1" x14ac:dyDescent="0.2">
      <c r="A22" s="39" t="s">
        <v>64</v>
      </c>
      <c r="B22" s="39"/>
      <c r="C22" s="39"/>
      <c r="D22" s="39"/>
      <c r="E22" s="39"/>
      <c r="F22" s="39"/>
    </row>
    <row r="23" spans="1:6" x14ac:dyDescent="0.2">
      <c r="A23" s="3"/>
      <c r="B23" s="3"/>
      <c r="C23" s="3"/>
      <c r="D23" s="3"/>
      <c r="E23" s="3"/>
      <c r="F23" s="3"/>
    </row>
    <row r="24" spans="1:6" ht="15" customHeight="1" x14ac:dyDescent="0.2">
      <c r="A24" s="6" t="s">
        <v>65</v>
      </c>
      <c r="B24" s="3"/>
      <c r="C24" s="9">
        <v>34.9</v>
      </c>
      <c r="D24" s="10">
        <f t="shared" ref="D24:F38" si="0">C24</f>
        <v>34.9</v>
      </c>
      <c r="E24" s="10">
        <f t="shared" si="0"/>
        <v>34.9</v>
      </c>
      <c r="F24" s="10">
        <f t="shared" si="0"/>
        <v>34.9</v>
      </c>
    </row>
    <row r="25" spans="1:6" ht="15" customHeight="1" x14ac:dyDescent="0.2">
      <c r="A25" s="6" t="s">
        <v>66</v>
      </c>
      <c r="B25" s="3"/>
      <c r="C25" s="9">
        <v>9.4</v>
      </c>
      <c r="D25" s="10">
        <f t="shared" si="0"/>
        <v>9.4</v>
      </c>
      <c r="E25" s="10">
        <f t="shared" si="0"/>
        <v>9.4</v>
      </c>
      <c r="F25" s="10">
        <f t="shared" si="0"/>
        <v>9.4</v>
      </c>
    </row>
    <row r="26" spans="1:6" ht="15" customHeight="1" x14ac:dyDescent="0.2">
      <c r="A26" s="6" t="s">
        <v>67</v>
      </c>
      <c r="B26" s="3"/>
      <c r="C26" s="9">
        <v>115.4</v>
      </c>
      <c r="D26" s="10">
        <f t="shared" si="0"/>
        <v>115.4</v>
      </c>
      <c r="E26" s="10">
        <f t="shared" si="0"/>
        <v>115.4</v>
      </c>
      <c r="F26" s="10">
        <f t="shared" si="0"/>
        <v>115.4</v>
      </c>
    </row>
    <row r="27" spans="1:6" ht="15" customHeight="1" x14ac:dyDescent="0.2">
      <c r="A27" s="6" t="s">
        <v>68</v>
      </c>
      <c r="B27" s="3"/>
      <c r="C27" s="7">
        <v>7.9699999999999993E-2</v>
      </c>
      <c r="D27" s="8">
        <f t="shared" si="0"/>
        <v>7.9699999999999993E-2</v>
      </c>
      <c r="E27" s="8">
        <f t="shared" si="0"/>
        <v>7.9699999999999993E-2</v>
      </c>
      <c r="F27" s="8">
        <f t="shared" si="0"/>
        <v>7.9699999999999993E-2</v>
      </c>
    </row>
    <row r="28" spans="1:6" ht="15" customHeight="1" x14ac:dyDescent="0.2">
      <c r="A28" s="6" t="s">
        <v>69</v>
      </c>
      <c r="B28" s="3"/>
      <c r="C28" s="7">
        <v>3.5000000000000003E-2</v>
      </c>
      <c r="D28" s="8">
        <f t="shared" si="0"/>
        <v>3.5000000000000003E-2</v>
      </c>
      <c r="E28" s="8">
        <f t="shared" si="0"/>
        <v>3.5000000000000003E-2</v>
      </c>
      <c r="F28" s="8">
        <f t="shared" si="0"/>
        <v>3.5000000000000003E-2</v>
      </c>
    </row>
    <row r="29" spans="1:6" ht="15" customHeight="1" x14ac:dyDescent="0.2">
      <c r="A29" s="6" t="s">
        <v>70</v>
      </c>
      <c r="B29" s="3"/>
      <c r="C29" s="7">
        <v>0.20119999999999999</v>
      </c>
      <c r="D29" s="8">
        <f t="shared" si="0"/>
        <v>0.20119999999999999</v>
      </c>
      <c r="E29" s="8">
        <f t="shared" si="0"/>
        <v>0.20119999999999999</v>
      </c>
      <c r="F29" s="8">
        <f t="shared" si="0"/>
        <v>0.20119999999999999</v>
      </c>
    </row>
    <row r="30" spans="1:6" ht="15" customHeight="1" x14ac:dyDescent="0.2">
      <c r="A30" s="6" t="s">
        <v>71</v>
      </c>
      <c r="B30" s="3"/>
      <c r="C30" s="11">
        <v>18763</v>
      </c>
      <c r="D30" s="12">
        <f t="shared" si="0"/>
        <v>18763</v>
      </c>
      <c r="E30" s="12">
        <f t="shared" si="0"/>
        <v>18763</v>
      </c>
      <c r="F30" s="12">
        <f t="shared" si="0"/>
        <v>18763</v>
      </c>
    </row>
    <row r="31" spans="1:6" ht="15" customHeight="1" x14ac:dyDescent="0.2">
      <c r="A31" s="6" t="s">
        <v>72</v>
      </c>
      <c r="B31" s="3"/>
      <c r="C31" s="11">
        <v>77723</v>
      </c>
      <c r="D31" s="12">
        <f t="shared" si="0"/>
        <v>77723</v>
      </c>
      <c r="E31" s="12">
        <f t="shared" si="0"/>
        <v>77723</v>
      </c>
      <c r="F31" s="12">
        <f t="shared" si="0"/>
        <v>77723</v>
      </c>
    </row>
    <row r="32" spans="1:6" ht="15" customHeight="1" x14ac:dyDescent="0.2">
      <c r="A32" s="6" t="s">
        <v>73</v>
      </c>
      <c r="B32" s="3"/>
      <c r="C32" s="7">
        <v>0.1595</v>
      </c>
      <c r="D32" s="8">
        <f t="shared" si="0"/>
        <v>0.1595</v>
      </c>
      <c r="E32" s="8">
        <f t="shared" si="0"/>
        <v>0.1595</v>
      </c>
      <c r="F32" s="8">
        <f t="shared" si="0"/>
        <v>0.1595</v>
      </c>
    </row>
    <row r="33" spans="1:6" ht="15" customHeight="1" x14ac:dyDescent="0.2">
      <c r="A33" s="6" t="s">
        <v>74</v>
      </c>
      <c r="B33" s="3"/>
      <c r="C33" s="7">
        <v>2.18E-2</v>
      </c>
      <c r="D33" s="8">
        <f t="shared" si="0"/>
        <v>2.18E-2</v>
      </c>
      <c r="E33" s="8">
        <f t="shared" si="0"/>
        <v>2.18E-2</v>
      </c>
      <c r="F33" s="8">
        <f t="shared" si="0"/>
        <v>2.18E-2</v>
      </c>
    </row>
    <row r="34" spans="1:6" ht="15" customHeight="1" x14ac:dyDescent="0.2">
      <c r="A34" s="6" t="s">
        <v>75</v>
      </c>
      <c r="B34" s="3"/>
      <c r="C34" s="7">
        <v>9.98E-2</v>
      </c>
      <c r="D34" s="8">
        <f t="shared" si="0"/>
        <v>9.98E-2</v>
      </c>
      <c r="E34" s="8">
        <f t="shared" si="0"/>
        <v>9.98E-2</v>
      </c>
      <c r="F34" s="8">
        <f t="shared" si="0"/>
        <v>9.98E-2</v>
      </c>
    </row>
    <row r="35" spans="1:6" ht="15" customHeight="1" x14ac:dyDescent="0.2">
      <c r="A35" s="6" t="s">
        <v>76</v>
      </c>
      <c r="B35" s="3"/>
      <c r="C35" s="11">
        <v>7979</v>
      </c>
      <c r="D35" s="12">
        <f t="shared" si="0"/>
        <v>7979</v>
      </c>
      <c r="E35" s="12">
        <f t="shared" si="0"/>
        <v>7979</v>
      </c>
      <c r="F35" s="12">
        <f t="shared" si="0"/>
        <v>7979</v>
      </c>
    </row>
    <row r="36" spans="1:6" ht="15" customHeight="1" x14ac:dyDescent="0.2">
      <c r="A36" s="6" t="s">
        <v>77</v>
      </c>
      <c r="B36" s="3"/>
      <c r="C36" s="11">
        <v>12350</v>
      </c>
      <c r="D36" s="12">
        <f t="shared" si="0"/>
        <v>12350</v>
      </c>
      <c r="E36" s="12">
        <f t="shared" si="0"/>
        <v>12350</v>
      </c>
      <c r="F36" s="12">
        <f t="shared" si="0"/>
        <v>12350</v>
      </c>
    </row>
    <row r="37" spans="1:6" ht="15" customHeight="1" x14ac:dyDescent="0.2">
      <c r="A37" s="6" t="s">
        <v>78</v>
      </c>
      <c r="B37" s="3"/>
      <c r="C37" s="11">
        <v>78328</v>
      </c>
      <c r="D37" s="12">
        <f t="shared" si="0"/>
        <v>78328</v>
      </c>
      <c r="E37" s="12">
        <f t="shared" si="0"/>
        <v>78328</v>
      </c>
      <c r="F37" s="12">
        <f t="shared" si="0"/>
        <v>78328</v>
      </c>
    </row>
    <row r="38" spans="1:6" ht="15" customHeight="1" x14ac:dyDescent="0.2">
      <c r="A38" s="6" t="s">
        <v>79</v>
      </c>
      <c r="B38" s="3"/>
      <c r="C38" s="11">
        <v>-5571</v>
      </c>
      <c r="D38" s="12">
        <f t="shared" si="0"/>
        <v>-5571</v>
      </c>
      <c r="E38" s="12">
        <f t="shared" si="0"/>
        <v>-5571</v>
      </c>
      <c r="F38" s="12">
        <f t="shared" si="0"/>
        <v>-5571</v>
      </c>
    </row>
    <row r="39" spans="1:6" x14ac:dyDescent="0.2">
      <c r="A39" s="3"/>
      <c r="B39" s="3"/>
      <c r="C39" s="3"/>
      <c r="D39" s="3"/>
      <c r="E39" s="3"/>
      <c r="F39" s="3"/>
    </row>
    <row r="40" spans="1:6" ht="15" customHeight="1" x14ac:dyDescent="0.2">
      <c r="A40" s="39" t="s">
        <v>80</v>
      </c>
      <c r="B40" s="39"/>
      <c r="C40" s="39"/>
      <c r="D40" s="39"/>
      <c r="E40" s="39"/>
      <c r="F40" s="39"/>
    </row>
    <row r="41" spans="1:6" x14ac:dyDescent="0.2">
      <c r="A41" s="3"/>
      <c r="B41" s="3"/>
      <c r="C41" s="3"/>
      <c r="D41" s="3"/>
      <c r="E41" s="3"/>
      <c r="F41" s="3"/>
    </row>
    <row r="42" spans="1:6" ht="15" customHeight="1" x14ac:dyDescent="0.2">
      <c r="A42" s="6" t="s">
        <v>81</v>
      </c>
      <c r="B42" s="3"/>
      <c r="C42" s="8">
        <f>(12715-Retail_CapEx!C$21)/Income_Statement!C$17</f>
        <v>2.8719654172303509E-2</v>
      </c>
      <c r="D42" s="7">
        <v>2.5999999999999999E-2</v>
      </c>
      <c r="E42" s="7">
        <v>2.5999999999999999E-2</v>
      </c>
      <c r="F42" s="7">
        <v>2.5000000000000001E-2</v>
      </c>
    </row>
    <row r="43" spans="1:6" ht="15" customHeight="1" x14ac:dyDescent="0.2">
      <c r="A43" s="6" t="s">
        <v>82</v>
      </c>
      <c r="B43" s="3"/>
      <c r="C43" s="8">
        <f>(11698-Retail_CapEx!C$35)/Income_Statement!C$17</f>
        <v>2.7105662765665745E-2</v>
      </c>
      <c r="D43" s="7">
        <v>2.3E-2</v>
      </c>
      <c r="E43" s="7">
        <v>2.3E-2</v>
      </c>
      <c r="F43" s="7">
        <v>2.1999999999999999E-2</v>
      </c>
    </row>
    <row r="44" spans="1:6" ht="15" customHeight="1" x14ac:dyDescent="0.2">
      <c r="A44" s="6" t="s">
        <v>83</v>
      </c>
      <c r="B44" s="3"/>
      <c r="C44" s="7">
        <v>3.09E-2</v>
      </c>
      <c r="D44" s="8">
        <f>C44</f>
        <v>3.09E-2</v>
      </c>
      <c r="E44" s="8">
        <f>D44</f>
        <v>3.09E-2</v>
      </c>
      <c r="F44" s="8">
        <f>E44</f>
        <v>3.09E-2</v>
      </c>
    </row>
    <row r="45" spans="1:6" ht="15" customHeight="1" x14ac:dyDescent="0.2">
      <c r="A45" s="6" t="s">
        <v>84</v>
      </c>
      <c r="B45" s="3"/>
      <c r="C45" s="3"/>
      <c r="D45" s="7">
        <v>0.03</v>
      </c>
      <c r="E45" s="7">
        <v>0.03</v>
      </c>
      <c r="F45" s="7">
        <v>0.03</v>
      </c>
    </row>
    <row r="46" spans="1:6" ht="15" customHeight="1" x14ac:dyDescent="0.2">
      <c r="A46" s="6" t="s">
        <v>85</v>
      </c>
      <c r="B46" s="3"/>
      <c r="C46" s="3"/>
      <c r="D46" s="11">
        <v>88000</v>
      </c>
      <c r="E46" s="11">
        <v>85000</v>
      </c>
      <c r="F46" s="11">
        <v>82000</v>
      </c>
    </row>
    <row r="47" spans="1:6" ht="15" customHeight="1" x14ac:dyDescent="0.2">
      <c r="A47" s="6" t="s">
        <v>86</v>
      </c>
      <c r="B47" s="3"/>
      <c r="C47" s="3"/>
      <c r="D47" s="7">
        <v>-0.02</v>
      </c>
      <c r="E47" s="7">
        <v>-0.02</v>
      </c>
      <c r="F47" s="7">
        <v>-1.7999999999999999E-2</v>
      </c>
    </row>
  </sheetData>
  <mergeCells count="6">
    <mergeCell ref="A40:F40"/>
    <mergeCell ref="A1:F1"/>
    <mergeCell ref="A2:F2"/>
    <mergeCell ref="A6:F6"/>
    <mergeCell ref="A14:F14"/>
    <mergeCell ref="A22:F2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showGridLines="0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B10" sqref="B10"/>
    </sheetView>
  </sheetViews>
  <sheetFormatPr baseColWidth="10" defaultColWidth="8.6640625" defaultRowHeight="15" x14ac:dyDescent="0.2"/>
  <cols>
    <col min="1" max="1" width="54" customWidth="1"/>
    <col min="2" max="6" width="14" customWidth="1"/>
  </cols>
  <sheetData>
    <row r="1" spans="1:6" ht="17.25" customHeight="1" x14ac:dyDescent="0.2">
      <c r="A1" s="40" t="s">
        <v>87</v>
      </c>
      <c r="B1" s="40"/>
      <c r="C1" s="40"/>
      <c r="D1" s="40"/>
      <c r="E1" s="40"/>
      <c r="F1" s="40"/>
    </row>
    <row r="2" spans="1:6" ht="15" customHeight="1" x14ac:dyDescent="0.2">
      <c r="A2" s="38" t="s">
        <v>88</v>
      </c>
      <c r="B2" s="38"/>
      <c r="C2" s="38"/>
      <c r="D2" s="38"/>
      <c r="E2" s="38"/>
      <c r="F2" s="38"/>
    </row>
    <row r="4" spans="1:6" ht="15" customHeight="1" x14ac:dyDescent="0.2">
      <c r="A4" s="1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</row>
    <row r="6" spans="1:6" ht="15" customHeight="1" x14ac:dyDescent="0.2">
      <c r="A6" s="39" t="s">
        <v>89</v>
      </c>
      <c r="B6" s="39"/>
      <c r="C6" s="39"/>
      <c r="D6" s="39"/>
      <c r="E6" s="39"/>
      <c r="F6" s="39"/>
    </row>
    <row r="7" spans="1:6" ht="15" customHeight="1" x14ac:dyDescent="0.2">
      <c r="A7" s="6" t="s">
        <v>90</v>
      </c>
      <c r="B7" s="4" t="s">
        <v>91</v>
      </c>
      <c r="C7" s="12">
        <f>Total_Net_Sales_C*Assumptions!$C$12*Assumptions!$C$11</f>
        <v>91555.420000000027</v>
      </c>
      <c r="D7" s="12">
        <f>C7*(1+Assumptions!D8)</f>
        <v>95217.636800000037</v>
      </c>
      <c r="E7" s="12">
        <f>D7*(1+Assumptions!E8)</f>
        <v>99026.342272000038</v>
      </c>
      <c r="F7" s="12">
        <f>E7*(1+Assumptions!F8)</f>
        <v>103482.52767424003</v>
      </c>
    </row>
    <row r="8" spans="1:6" ht="15" customHeight="1" x14ac:dyDescent="0.2">
      <c r="A8" s="6" t="s">
        <v>92</v>
      </c>
      <c r="B8" s="4" t="s">
        <v>91</v>
      </c>
      <c r="C8" s="12">
        <f>Total_Net_Sales_C*Assumptions!$C$12*(1-Assumptions!$C$11)</f>
        <v>74908.98</v>
      </c>
      <c r="D8" s="12">
        <f>C8*(1+Assumptions!D9)</f>
        <v>82399.877999999997</v>
      </c>
      <c r="E8" s="12">
        <f>D8*(1+Assumptions!E9)</f>
        <v>89815.867020000005</v>
      </c>
      <c r="F8" s="12">
        <f>E8*(1+Assumptions!F9)</f>
        <v>97001.136381600008</v>
      </c>
    </row>
    <row r="9" spans="1:6" ht="15" customHeight="1" x14ac:dyDescent="0.2">
      <c r="A9" s="17" t="s">
        <v>93</v>
      </c>
      <c r="B9" s="4" t="s">
        <v>91</v>
      </c>
      <c r="C9" s="18">
        <f>C7+C8</f>
        <v>166464.40000000002</v>
      </c>
      <c r="D9" s="18">
        <f>D7+D8</f>
        <v>177617.51480000003</v>
      </c>
      <c r="E9" s="18">
        <f>E7+E8</f>
        <v>188842.20929200004</v>
      </c>
      <c r="F9" s="18">
        <f>F7+F8</f>
        <v>200483.66405584005</v>
      </c>
    </row>
    <row r="10" spans="1:6" ht="15" customHeight="1" x14ac:dyDescent="0.2">
      <c r="A10" s="6" t="s">
        <v>94</v>
      </c>
      <c r="B10" s="4" t="s">
        <v>91</v>
      </c>
      <c r="C10" s="12">
        <f>Total_Net_Sales_C-C9</f>
        <v>249696.59999999998</v>
      </c>
      <c r="D10" s="12">
        <f>C10*(1+Assumptions!D10)</f>
        <v>264678.39600000001</v>
      </c>
      <c r="E10" s="12">
        <f>D10*(1+Assumptions!E10)</f>
        <v>280559.09976000001</v>
      </c>
      <c r="F10" s="12">
        <f>E10*(1+Assumptions!F10)</f>
        <v>295989.85024679999</v>
      </c>
    </row>
    <row r="11" spans="1:6" x14ac:dyDescent="0.2">
      <c r="A11" s="3"/>
      <c r="B11" s="3"/>
      <c r="C11" s="3"/>
      <c r="D11" s="3"/>
      <c r="E11" s="3"/>
      <c r="F11" s="3"/>
    </row>
    <row r="12" spans="1:6" ht="15" customHeight="1" x14ac:dyDescent="0.2">
      <c r="A12" s="39" t="s">
        <v>95</v>
      </c>
      <c r="B12" s="39"/>
      <c r="C12" s="39"/>
      <c r="D12" s="39"/>
      <c r="E12" s="39"/>
      <c r="F12" s="39"/>
    </row>
    <row r="13" spans="1:6" ht="15" customHeight="1" x14ac:dyDescent="0.2">
      <c r="A13" s="6" t="s">
        <v>96</v>
      </c>
      <c r="B13" s="11">
        <v>294866</v>
      </c>
      <c r="C13" s="11">
        <v>307003</v>
      </c>
      <c r="D13" s="12">
        <f>D$17*($C13/Total_Net_Sales_C)</f>
        <v>326282.78840000002</v>
      </c>
      <c r="E13" s="12">
        <f>E$17*($C13/Total_Net_Sales_C)</f>
        <v>346278.50779600005</v>
      </c>
      <c r="F13" s="12">
        <f>F$17*($C13/Total_Net_Sales_C)</f>
        <v>366249.74063272</v>
      </c>
    </row>
    <row r="14" spans="1:6" ht="15" customHeight="1" x14ac:dyDescent="0.2">
      <c r="A14" s="6" t="s">
        <v>97</v>
      </c>
      <c r="B14" s="11">
        <v>96169</v>
      </c>
      <c r="C14" s="11">
        <v>109158</v>
      </c>
      <c r="D14" s="12">
        <f>D$17-D13</f>
        <v>116013.12240000005</v>
      </c>
      <c r="E14" s="12">
        <f>E$17-E13</f>
        <v>123122.80125600001</v>
      </c>
      <c r="F14" s="12">
        <f>F$17-F13</f>
        <v>130223.77366992005</v>
      </c>
    </row>
    <row r="15" spans="1:6" x14ac:dyDescent="0.2">
      <c r="A15" s="3"/>
      <c r="B15" s="3"/>
      <c r="C15" s="3"/>
      <c r="D15" s="3"/>
      <c r="E15" s="3"/>
      <c r="F15" s="3"/>
    </row>
    <row r="16" spans="1:6" ht="15" customHeight="1" x14ac:dyDescent="0.2">
      <c r="A16" s="39" t="s">
        <v>98</v>
      </c>
      <c r="B16" s="39"/>
      <c r="C16" s="39"/>
      <c r="D16" s="39"/>
      <c r="E16" s="39"/>
      <c r="F16" s="39"/>
    </row>
    <row r="17" spans="1:6" ht="15" customHeight="1" x14ac:dyDescent="0.2">
      <c r="A17" s="17" t="s">
        <v>99</v>
      </c>
      <c r="B17" s="19">
        <v>391035</v>
      </c>
      <c r="C17" s="19">
        <v>416161</v>
      </c>
      <c r="D17" s="18">
        <f>D9+D10</f>
        <v>442295.91080000007</v>
      </c>
      <c r="E17" s="18">
        <f>E9+E10</f>
        <v>469401.30905200006</v>
      </c>
      <c r="F17" s="18">
        <f>F9+F10</f>
        <v>496473.51430264005</v>
      </c>
    </row>
    <row r="18" spans="1:6" ht="15" customHeight="1" x14ac:dyDescent="0.2">
      <c r="A18" s="6" t="s">
        <v>100</v>
      </c>
      <c r="B18" s="3"/>
      <c r="C18" s="8">
        <f>C17/B17-1</f>
        <v>6.425511782832749E-2</v>
      </c>
      <c r="D18" s="8">
        <f>D17/C17-1</f>
        <v>6.2800000000000189E-2</v>
      </c>
      <c r="E18" s="8">
        <f>E17/D17-1</f>
        <v>6.1283402333458747E-2</v>
      </c>
      <c r="F18" s="8">
        <f>F17/E17-1</f>
        <v>5.7673902327445292E-2</v>
      </c>
    </row>
    <row r="19" spans="1:6" x14ac:dyDescent="0.2">
      <c r="A19" s="3"/>
      <c r="B19" s="3"/>
      <c r="C19" s="3"/>
      <c r="D19" s="3"/>
      <c r="E19" s="3"/>
      <c r="F19" s="3"/>
    </row>
    <row r="20" spans="1:6" ht="15" customHeight="1" x14ac:dyDescent="0.2">
      <c r="A20" s="39" t="s">
        <v>101</v>
      </c>
      <c r="B20" s="39"/>
      <c r="C20" s="39"/>
      <c r="D20" s="39"/>
      <c r="E20" s="39"/>
      <c r="F20" s="39"/>
    </row>
    <row r="21" spans="1:6" ht="15" customHeight="1" x14ac:dyDescent="0.2">
      <c r="A21" s="6" t="s">
        <v>102</v>
      </c>
      <c r="B21" s="11">
        <v>185233</v>
      </c>
      <c r="C21" s="11">
        <v>194116</v>
      </c>
      <c r="D21" s="4" t="s">
        <v>103</v>
      </c>
      <c r="E21" s="4"/>
      <c r="F21" s="4"/>
    </row>
    <row r="22" spans="1:6" ht="15" customHeight="1" x14ac:dyDescent="0.2">
      <c r="A22" s="6" t="s">
        <v>104</v>
      </c>
      <c r="B22" s="11">
        <v>25119</v>
      </c>
      <c r="C22" s="11">
        <v>26844</v>
      </c>
      <c r="D22" s="4"/>
      <c r="E22" s="4"/>
      <c r="F22" s="4"/>
    </row>
    <row r="23" spans="1:6" ht="15" customHeight="1" x14ac:dyDescent="0.2">
      <c r="A23" s="17" t="s">
        <v>105</v>
      </c>
      <c r="B23" s="19">
        <v>210352</v>
      </c>
      <c r="C23" s="19">
        <v>220960</v>
      </c>
      <c r="D23" s="18">
        <f>D17*(1-Assumptions!D$16)</f>
        <v>233089.94499160006</v>
      </c>
      <c r="E23" s="18">
        <f>E17*(1-Assumptions!E$16)</f>
        <v>245027.48332514404</v>
      </c>
      <c r="F23" s="18">
        <f>F17*(1-Assumptions!F$16)</f>
        <v>257173.28040876755</v>
      </c>
    </row>
    <row r="24" spans="1:6" ht="15" customHeight="1" x14ac:dyDescent="0.2">
      <c r="A24" s="17" t="s">
        <v>106</v>
      </c>
      <c r="B24" s="18">
        <f>B17-B23</f>
        <v>180683</v>
      </c>
      <c r="C24" s="18">
        <f>C17-C23</f>
        <v>195201</v>
      </c>
      <c r="D24" s="18">
        <f>D17-D23</f>
        <v>209205.96580840001</v>
      </c>
      <c r="E24" s="18">
        <f>E17-E23</f>
        <v>224373.82572685601</v>
      </c>
      <c r="F24" s="18">
        <f>F17-F23</f>
        <v>239300.2338938725</v>
      </c>
    </row>
    <row r="25" spans="1:6" ht="15" customHeight="1" x14ac:dyDescent="0.2">
      <c r="A25" s="6" t="s">
        <v>107</v>
      </c>
      <c r="B25" s="8">
        <f>B24/B17</f>
        <v>0.46206349815233932</v>
      </c>
      <c r="C25" s="8">
        <f>C24/C17</f>
        <v>0.46905164107160452</v>
      </c>
      <c r="D25" s="8">
        <f>D24/D17</f>
        <v>0.47299999999999998</v>
      </c>
      <c r="E25" s="8">
        <f>E24/E17</f>
        <v>0.47799999999999998</v>
      </c>
      <c r="F25" s="8">
        <f>F24/F17</f>
        <v>0.48199999999999998</v>
      </c>
    </row>
    <row r="26" spans="1:6" x14ac:dyDescent="0.2">
      <c r="A26" s="3"/>
      <c r="B26" s="3"/>
      <c r="C26" s="3"/>
      <c r="D26" s="3"/>
      <c r="E26" s="3"/>
      <c r="F26" s="3"/>
    </row>
    <row r="27" spans="1:6" ht="15" customHeight="1" x14ac:dyDescent="0.2">
      <c r="A27" s="39" t="s">
        <v>108</v>
      </c>
      <c r="B27" s="39"/>
      <c r="C27" s="39"/>
      <c r="D27" s="39"/>
      <c r="E27" s="39"/>
      <c r="F27" s="39"/>
    </row>
    <row r="28" spans="1:6" ht="15" customHeight="1" x14ac:dyDescent="0.2">
      <c r="A28" s="6" t="s">
        <v>109</v>
      </c>
      <c r="B28" s="11">
        <v>31370</v>
      </c>
      <c r="C28" s="11">
        <v>34550</v>
      </c>
      <c r="D28" s="12">
        <f>D17*Assumptions!D$17</f>
        <v>35383.672864000007</v>
      </c>
      <c r="E28" s="12">
        <f>E17*Assumptions!E$17</f>
        <v>37552.104724160003</v>
      </c>
      <c r="F28" s="12">
        <f>F17*Assumptions!F$17</f>
        <v>38724.934115605924</v>
      </c>
    </row>
    <row r="29" spans="1:6" ht="15" customHeight="1" x14ac:dyDescent="0.2">
      <c r="A29" s="6" t="s">
        <v>110</v>
      </c>
      <c r="B29" s="11">
        <v>26097</v>
      </c>
      <c r="C29" s="11">
        <v>27601</v>
      </c>
      <c r="D29" s="12">
        <f>D17*Assumptions!D$18</f>
        <v>29191.530112800006</v>
      </c>
      <c r="E29" s="12">
        <f>E17*Assumptions!E$18</f>
        <v>30511.085088380005</v>
      </c>
      <c r="F29" s="12">
        <f>F17*Assumptions!F$18</f>
        <v>31774.304915368964</v>
      </c>
    </row>
    <row r="30" spans="1:6" ht="15" customHeight="1" x14ac:dyDescent="0.2">
      <c r="A30" s="17" t="s">
        <v>111</v>
      </c>
      <c r="B30" s="18">
        <f>B28+B29</f>
        <v>57467</v>
      </c>
      <c r="C30" s="18">
        <f>C28+C29</f>
        <v>62151</v>
      </c>
      <c r="D30" s="18">
        <f>D28+D29</f>
        <v>64575.202976800014</v>
      </c>
      <c r="E30" s="18">
        <f>E28+E29</f>
        <v>68063.189812540004</v>
      </c>
      <c r="F30" s="18">
        <f>F28+F29</f>
        <v>70499.239030974888</v>
      </c>
    </row>
    <row r="31" spans="1:6" ht="15" customHeight="1" x14ac:dyDescent="0.2">
      <c r="A31" s="17" t="s">
        <v>112</v>
      </c>
      <c r="B31" s="18">
        <f>B24-B30</f>
        <v>123216</v>
      </c>
      <c r="C31" s="18">
        <f>C24-C30</f>
        <v>133050</v>
      </c>
      <c r="D31" s="18">
        <f>D24-D30</f>
        <v>144630.7628316</v>
      </c>
      <c r="E31" s="18">
        <f>E24-E30</f>
        <v>156310.63591431599</v>
      </c>
      <c r="F31" s="18">
        <f>F24-F30</f>
        <v>168800.99486289761</v>
      </c>
    </row>
    <row r="32" spans="1:6" ht="15" customHeight="1" x14ac:dyDescent="0.2">
      <c r="A32" s="6" t="s">
        <v>113</v>
      </c>
      <c r="B32" s="8">
        <f>B31/B17</f>
        <v>0.31510222870075566</v>
      </c>
      <c r="C32" s="8">
        <f>C31/C17</f>
        <v>0.31970799762591884</v>
      </c>
      <c r="D32" s="8">
        <f>D31/D17</f>
        <v>0.32699999999999996</v>
      </c>
      <c r="E32" s="8">
        <f>E31/E17</f>
        <v>0.33299999999999996</v>
      </c>
      <c r="F32" s="8">
        <f>F31/F17</f>
        <v>0.33999999999999997</v>
      </c>
    </row>
    <row r="33" spans="1:6" x14ac:dyDescent="0.2">
      <c r="A33" s="3"/>
      <c r="B33" s="3"/>
      <c r="C33" s="3"/>
      <c r="D33" s="3"/>
      <c r="E33" s="3"/>
      <c r="F33" s="3"/>
    </row>
    <row r="34" spans="1:6" ht="15" customHeight="1" x14ac:dyDescent="0.2">
      <c r="A34" s="39" t="s">
        <v>114</v>
      </c>
      <c r="B34" s="39"/>
      <c r="C34" s="39"/>
      <c r="D34" s="39"/>
      <c r="E34" s="39"/>
      <c r="F34" s="39"/>
    </row>
    <row r="35" spans="1:6" ht="15" customHeight="1" x14ac:dyDescent="0.2">
      <c r="A35" s="6" t="s">
        <v>115</v>
      </c>
      <c r="B35" s="11">
        <v>269</v>
      </c>
      <c r="C35" s="11">
        <v>-321</v>
      </c>
      <c r="D35" s="12">
        <f>D17*Assumptions!D$20</f>
        <v>0</v>
      </c>
      <c r="E35" s="12">
        <f>E17*Assumptions!E$20</f>
        <v>0</v>
      </c>
      <c r="F35" s="12">
        <f>F17*Assumptions!F$20</f>
        <v>0</v>
      </c>
    </row>
    <row r="36" spans="1:6" ht="15" customHeight="1" x14ac:dyDescent="0.2">
      <c r="A36" s="17" t="s">
        <v>116</v>
      </c>
      <c r="B36" s="18">
        <f>B31+B35</f>
        <v>123485</v>
      </c>
      <c r="C36" s="18">
        <f>C31+C35</f>
        <v>132729</v>
      </c>
      <c r="D36" s="18">
        <f>D31+D35</f>
        <v>144630.7628316</v>
      </c>
      <c r="E36" s="18">
        <f>E31+E35</f>
        <v>156310.63591431599</v>
      </c>
      <c r="F36" s="18">
        <f>F31+F35</f>
        <v>168800.99486289761</v>
      </c>
    </row>
    <row r="37" spans="1:6" ht="15" customHeight="1" x14ac:dyDescent="0.2">
      <c r="A37" s="6" t="s">
        <v>117</v>
      </c>
      <c r="B37" s="11">
        <v>29749</v>
      </c>
      <c r="C37" s="11">
        <v>20719</v>
      </c>
      <c r="D37" s="12">
        <f>D36*Assumptions!D$19</f>
        <v>23140.922053056001</v>
      </c>
      <c r="E37" s="12">
        <f>E36*Assumptions!E$19</f>
        <v>25009.701746290561</v>
      </c>
      <c r="F37" s="12">
        <f>F36*Assumptions!F$19</f>
        <v>27008.159178063619</v>
      </c>
    </row>
    <row r="38" spans="1:6" ht="15" customHeight="1" x14ac:dyDescent="0.2">
      <c r="A38" s="17" t="s">
        <v>118</v>
      </c>
      <c r="B38" s="20">
        <f>B36-B37</f>
        <v>93736</v>
      </c>
      <c r="C38" s="20">
        <f>C36-C37</f>
        <v>112010</v>
      </c>
      <c r="D38" s="20">
        <f>D36-D37</f>
        <v>121489.84077854401</v>
      </c>
      <c r="E38" s="20">
        <f>E36-E37</f>
        <v>131300.93416802544</v>
      </c>
      <c r="F38" s="20">
        <f>F36-F37</f>
        <v>141792.83568483399</v>
      </c>
    </row>
    <row r="39" spans="1:6" ht="15" customHeight="1" x14ac:dyDescent="0.2">
      <c r="A39" s="6" t="s">
        <v>119</v>
      </c>
      <c r="B39" s="8">
        <f>B38/B17</f>
        <v>0.23971255769943867</v>
      </c>
      <c r="C39" s="8">
        <f>C38/C17</f>
        <v>0.26915064121818238</v>
      </c>
      <c r="D39" s="8">
        <f>D38/D17</f>
        <v>0.27467999999999998</v>
      </c>
      <c r="E39" s="8">
        <f>E38/E17</f>
        <v>0.27971999999999997</v>
      </c>
      <c r="F39" s="8">
        <f>F38/F17</f>
        <v>0.28559999999999997</v>
      </c>
    </row>
    <row r="40" spans="1:6" x14ac:dyDescent="0.2">
      <c r="A40" s="3"/>
      <c r="B40" s="3"/>
      <c r="C40" s="3"/>
      <c r="D40" s="3"/>
      <c r="E40" s="3"/>
      <c r="F40" s="3"/>
    </row>
    <row r="41" spans="1:6" ht="15" customHeight="1" x14ac:dyDescent="0.2">
      <c r="A41" s="39" t="s">
        <v>120</v>
      </c>
      <c r="B41" s="39"/>
      <c r="C41" s="39"/>
      <c r="D41" s="39"/>
      <c r="E41" s="39"/>
      <c r="F41" s="39"/>
    </row>
    <row r="42" spans="1:6" ht="15" customHeight="1" x14ac:dyDescent="0.2">
      <c r="A42" s="6" t="s">
        <v>121</v>
      </c>
      <c r="B42" s="21">
        <v>15408095</v>
      </c>
      <c r="C42" s="21">
        <v>15004697</v>
      </c>
      <c r="D42" s="22">
        <f>C42*(1+Assumptions!D$47)</f>
        <v>14704603.060000001</v>
      </c>
      <c r="E42" s="22">
        <f>D42*(1+Assumptions!E$47)</f>
        <v>14410510.9988</v>
      </c>
      <c r="F42" s="22">
        <f>E42*(1+Assumptions!F$47)</f>
        <v>14151121.8008216</v>
      </c>
    </row>
    <row r="43" spans="1:6" ht="15" customHeight="1" x14ac:dyDescent="0.2">
      <c r="A43" s="17" t="s">
        <v>122</v>
      </c>
      <c r="B43" s="23">
        <f>B38*1000/B42</f>
        <v>6.0835554297919376</v>
      </c>
      <c r="C43" s="23">
        <f>C38*1000/C42</f>
        <v>7.4649957943169394</v>
      </c>
      <c r="D43" s="23">
        <f>D38*1000/D42</f>
        <v>8.2620279026113348</v>
      </c>
      <c r="E43" s="23">
        <f>E38*1000/E42</f>
        <v>9.1114696889623978</v>
      </c>
      <c r="F43" s="23">
        <f>F38*1000/F42</f>
        <v>10.019900731587347</v>
      </c>
    </row>
  </sheetData>
  <mergeCells count="9">
    <mergeCell ref="A20:F20"/>
    <mergeCell ref="A27:F27"/>
    <mergeCell ref="A34:F34"/>
    <mergeCell ref="A41:F41"/>
    <mergeCell ref="A1:F1"/>
    <mergeCell ref="A2:F2"/>
    <mergeCell ref="A6:F6"/>
    <mergeCell ref="A12:F12"/>
    <mergeCell ref="A16:F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showGridLines="0" zoomScaleNormal="100" workbookViewId="0">
      <pane xSplit="1" ySplit="4" topLeftCell="B19" activePane="bottomRight" state="frozen"/>
      <selection pane="topRight" activeCell="B1" sqref="B1"/>
      <selection pane="bottomLeft" activeCell="A5" sqref="A5"/>
      <selection pane="bottomRight" activeCell="C41" sqref="C41"/>
    </sheetView>
  </sheetViews>
  <sheetFormatPr baseColWidth="10" defaultColWidth="8.6640625" defaultRowHeight="15" x14ac:dyDescent="0.2"/>
  <cols>
    <col min="1" max="1" width="46" customWidth="1"/>
    <col min="2" max="6" width="14" customWidth="1"/>
  </cols>
  <sheetData>
    <row r="1" spans="1:6" ht="17.25" customHeight="1" x14ac:dyDescent="0.2">
      <c r="A1" s="40" t="s">
        <v>123</v>
      </c>
      <c r="B1" s="40"/>
      <c r="C1" s="40"/>
      <c r="D1" s="40"/>
      <c r="E1" s="40"/>
      <c r="F1" s="40"/>
    </row>
    <row r="2" spans="1:6" ht="15" customHeight="1" x14ac:dyDescent="0.2">
      <c r="A2" s="38" t="s">
        <v>124</v>
      </c>
      <c r="B2" s="38"/>
      <c r="C2" s="38"/>
      <c r="D2" s="38"/>
      <c r="E2" s="38"/>
      <c r="F2" s="38"/>
    </row>
    <row r="4" spans="1:6" ht="15" customHeight="1" x14ac:dyDescent="0.2">
      <c r="A4" s="1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</row>
    <row r="6" spans="1:6" ht="15" customHeight="1" x14ac:dyDescent="0.2">
      <c r="A6" s="39" t="s">
        <v>125</v>
      </c>
      <c r="B6" s="39"/>
      <c r="C6" s="39"/>
      <c r="D6" s="39"/>
      <c r="E6" s="39"/>
      <c r="F6" s="39"/>
    </row>
    <row r="7" spans="1:6" ht="15" customHeight="1" x14ac:dyDescent="0.2">
      <c r="A7" s="6" t="s">
        <v>126</v>
      </c>
      <c r="B7" s="24">
        <f>Cash_Flow!B$35</f>
        <v>29943</v>
      </c>
      <c r="C7" s="24">
        <f>Cash_Flow!C$35</f>
        <v>35934</v>
      </c>
      <c r="D7" s="24">
        <f>Cash_Flow!D$35</f>
        <v>59757.830332341575</v>
      </c>
      <c r="E7" s="24">
        <f>Cash_Flow!E$35</f>
        <v>96458.805330152056</v>
      </c>
      <c r="F7" s="24">
        <f>Cash_Flow!F$35</f>
        <v>146987.23462905135</v>
      </c>
    </row>
    <row r="8" spans="1:6" ht="15" customHeight="1" x14ac:dyDescent="0.2">
      <c r="A8" s="6" t="s">
        <v>127</v>
      </c>
      <c r="B8" s="11">
        <v>35228</v>
      </c>
      <c r="C8" s="11">
        <v>18763</v>
      </c>
      <c r="D8" s="12">
        <f>Assumptions!D$30</f>
        <v>18763</v>
      </c>
      <c r="E8" s="12">
        <f>Assumptions!E$30</f>
        <v>18763</v>
      </c>
      <c r="F8" s="12">
        <f>Assumptions!F$30</f>
        <v>18763</v>
      </c>
    </row>
    <row r="9" spans="1:6" ht="15" customHeight="1" x14ac:dyDescent="0.2">
      <c r="A9" s="6" t="s">
        <v>128</v>
      </c>
      <c r="B9" s="11">
        <v>33410</v>
      </c>
      <c r="C9" s="11">
        <v>39777</v>
      </c>
      <c r="D9" s="12">
        <f>Income_Statement!D$17/365*Assumptions!D$24</f>
        <v>42290.759690191779</v>
      </c>
      <c r="E9" s="12">
        <f>Income_Statement!E$17/365*Assumptions!E$24</f>
        <v>44882.481331273426</v>
      </c>
      <c r="F9" s="12">
        <f>Income_Statement!F$17/365*Assumptions!F$24</f>
        <v>47471.02917578668</v>
      </c>
    </row>
    <row r="10" spans="1:6" ht="15" customHeight="1" x14ac:dyDescent="0.2">
      <c r="A10" s="6" t="s">
        <v>129</v>
      </c>
      <c r="B10" s="11">
        <v>32833</v>
      </c>
      <c r="C10" s="11">
        <v>33180</v>
      </c>
      <c r="D10" s="12">
        <f>Income_Statement!D$17*Assumptions!D$27</f>
        <v>35250.984090760001</v>
      </c>
      <c r="E10" s="12">
        <f>Income_Statement!E$17*Assumptions!E$27</f>
        <v>37411.284331444404</v>
      </c>
      <c r="F10" s="12">
        <f>Income_Statement!F$17*Assumptions!F$27</f>
        <v>39568.939089920408</v>
      </c>
    </row>
    <row r="11" spans="1:6" ht="15" customHeight="1" x14ac:dyDescent="0.2">
      <c r="A11" s="6" t="s">
        <v>130</v>
      </c>
      <c r="B11" s="11">
        <v>7286</v>
      </c>
      <c r="C11" s="11">
        <v>5718</v>
      </c>
      <c r="D11" s="12">
        <f>Income_Statement!D$23/365*Assumptions!D$25</f>
        <v>6002.8643367699742</v>
      </c>
      <c r="E11" s="12">
        <f>Income_Statement!E$23/365*Assumptions!E$25</f>
        <v>6310.2968308393256</v>
      </c>
      <c r="F11" s="12">
        <f>Income_Statement!F$23/365*Assumptions!F$25</f>
        <v>6623.0927009381239</v>
      </c>
    </row>
    <row r="12" spans="1:6" ht="15" customHeight="1" x14ac:dyDescent="0.2">
      <c r="A12" s="6" t="s">
        <v>131</v>
      </c>
      <c r="B12" s="11">
        <v>14287</v>
      </c>
      <c r="C12" s="11">
        <v>14585</v>
      </c>
      <c r="D12" s="12">
        <f>Income_Statement!D$17*Assumptions!D$28</f>
        <v>15480.356878000004</v>
      </c>
      <c r="E12" s="12">
        <f>Income_Statement!E$17*Assumptions!E$28</f>
        <v>16429.045816820002</v>
      </c>
      <c r="F12" s="12">
        <f>Income_Statement!F$17*Assumptions!F$28</f>
        <v>17376.573000592402</v>
      </c>
    </row>
    <row r="13" spans="1:6" ht="15" customHeight="1" x14ac:dyDescent="0.2">
      <c r="A13" s="17" t="s">
        <v>132</v>
      </c>
      <c r="B13" s="18">
        <f>SUM(B7:B12)</f>
        <v>152987</v>
      </c>
      <c r="C13" s="18">
        <f>SUM(C7:C12)</f>
        <v>147957</v>
      </c>
      <c r="D13" s="18">
        <f>SUM(D7:D12)</f>
        <v>177545.79532806331</v>
      </c>
      <c r="E13" s="18">
        <f>SUM(E7:E12)</f>
        <v>220254.91364052924</v>
      </c>
      <c r="F13" s="18">
        <f>SUM(F7:F12)</f>
        <v>276789.86859628896</v>
      </c>
    </row>
    <row r="14" spans="1:6" x14ac:dyDescent="0.2">
      <c r="A14" s="3"/>
      <c r="B14" s="3"/>
      <c r="C14" s="3"/>
      <c r="D14" s="3"/>
      <c r="E14" s="3"/>
      <c r="F14" s="3"/>
    </row>
    <row r="15" spans="1:6" ht="15" customHeight="1" x14ac:dyDescent="0.2">
      <c r="A15" s="6" t="s">
        <v>133</v>
      </c>
      <c r="B15" s="11">
        <v>91479</v>
      </c>
      <c r="C15" s="11">
        <v>77723</v>
      </c>
      <c r="D15" s="12">
        <f>Assumptions!D$31</f>
        <v>77723</v>
      </c>
      <c r="E15" s="12">
        <f>Assumptions!E$31</f>
        <v>77723</v>
      </c>
      <c r="F15" s="12">
        <f>Assumptions!F$31</f>
        <v>77723</v>
      </c>
    </row>
    <row r="16" spans="1:6" ht="15" customHeight="1" x14ac:dyDescent="0.2">
      <c r="A16" s="6" t="s">
        <v>134</v>
      </c>
      <c r="B16" s="11">
        <v>45680</v>
      </c>
      <c r="C16" s="11">
        <v>49834</v>
      </c>
      <c r="D16" s="12">
        <f>C16-Cash_Flow!D$20-Cash_Flow!D$8</f>
        <v>51468.541139807407</v>
      </c>
      <c r="E16" s="12">
        <f>D16-Cash_Flow!E$20-Cash_Flow!E$8</f>
        <v>53184.664313876987</v>
      </c>
      <c r="F16" s="12">
        <f>E16-Cash_Flow!F$20-Cash_Flow!F$8</f>
        <v>54975.771215237575</v>
      </c>
    </row>
    <row r="17" spans="1:6" ht="15" customHeight="1" x14ac:dyDescent="0.2">
      <c r="A17" s="6" t="s">
        <v>135</v>
      </c>
      <c r="B17" s="11">
        <v>74834</v>
      </c>
      <c r="C17" s="11">
        <v>83727</v>
      </c>
      <c r="D17" s="12">
        <f>Income_Statement!D$17*Assumptions!D$29</f>
        <v>88989.937252960008</v>
      </c>
      <c r="E17" s="12">
        <f>Income_Statement!E$17*Assumptions!E$29</f>
        <v>94443.543381262411</v>
      </c>
      <c r="F17" s="12">
        <f>Income_Statement!F$17*Assumptions!F$29</f>
        <v>99890.471077691167</v>
      </c>
    </row>
    <row r="18" spans="1:6" ht="15" customHeight="1" x14ac:dyDescent="0.2">
      <c r="A18" s="17" t="s">
        <v>136</v>
      </c>
      <c r="B18" s="18">
        <f>SUM(B15:B17)</f>
        <v>211993</v>
      </c>
      <c r="C18" s="18">
        <f>SUM(C15:C17)</f>
        <v>211284</v>
      </c>
      <c r="D18" s="18">
        <f>SUM(D15:D17)</f>
        <v>218181.47839276743</v>
      </c>
      <c r="E18" s="18">
        <f>SUM(E15:E17)</f>
        <v>225351.2076951394</v>
      </c>
      <c r="F18" s="18">
        <f>SUM(F15:F17)</f>
        <v>232589.24229292874</v>
      </c>
    </row>
    <row r="19" spans="1:6" ht="15" customHeight="1" x14ac:dyDescent="0.2">
      <c r="A19" s="17" t="s">
        <v>137</v>
      </c>
      <c r="B19" s="20">
        <f>B13+B18</f>
        <v>364980</v>
      </c>
      <c r="C19" s="20">
        <f>C13+C18</f>
        <v>359241</v>
      </c>
      <c r="D19" s="20">
        <f>D13+D18</f>
        <v>395727.27372083074</v>
      </c>
      <c r="E19" s="20">
        <f>E13+E18</f>
        <v>445606.12133566861</v>
      </c>
      <c r="F19" s="20">
        <f>F13+F18</f>
        <v>509379.1108892177</v>
      </c>
    </row>
    <row r="20" spans="1:6" x14ac:dyDescent="0.2">
      <c r="A20" s="3"/>
      <c r="B20" s="3"/>
      <c r="C20" s="3"/>
      <c r="D20" s="3"/>
      <c r="E20" s="3"/>
      <c r="F20" s="3"/>
    </row>
    <row r="21" spans="1:6" ht="15" customHeight="1" x14ac:dyDescent="0.2">
      <c r="A21" s="39" t="s">
        <v>138</v>
      </c>
      <c r="B21" s="39"/>
      <c r="C21" s="39"/>
      <c r="D21" s="39"/>
      <c r="E21" s="39"/>
      <c r="F21" s="39"/>
    </row>
    <row r="22" spans="1:6" ht="15" customHeight="1" x14ac:dyDescent="0.2">
      <c r="A22" s="6" t="s">
        <v>139</v>
      </c>
      <c r="B22" s="11">
        <v>68960</v>
      </c>
      <c r="C22" s="11">
        <v>69860</v>
      </c>
      <c r="D22" s="12">
        <f>Income_Statement!D$23/365*Assumptions!D$26</f>
        <v>73694.738772686702</v>
      </c>
      <c r="E22" s="12">
        <f>Income_Statement!E$23/365*Assumptions!E$26</f>
        <v>77468.963221155122</v>
      </c>
      <c r="F22" s="12">
        <f>Income_Statement!F$23/365*Assumptions!F$26</f>
        <v>81309.031668963769</v>
      </c>
    </row>
    <row r="23" spans="1:6" ht="15" customHeight="1" x14ac:dyDescent="0.2">
      <c r="A23" s="6" t="s">
        <v>140</v>
      </c>
      <c r="B23" s="11">
        <v>78304</v>
      </c>
      <c r="C23" s="11">
        <v>66387</v>
      </c>
      <c r="D23" s="12">
        <f>Income_Statement!D$17*Assumptions!D$32</f>
        <v>70546.197772600019</v>
      </c>
      <c r="E23" s="12">
        <f>Income_Statement!E$17*Assumptions!E$32</f>
        <v>74869.508793794012</v>
      </c>
      <c r="F23" s="12">
        <f>Income_Statement!F$17*Assumptions!F$32</f>
        <v>79187.525531271094</v>
      </c>
    </row>
    <row r="24" spans="1:6" ht="15" customHeight="1" x14ac:dyDescent="0.2">
      <c r="A24" s="6" t="s">
        <v>141</v>
      </c>
      <c r="B24" s="11">
        <v>8249</v>
      </c>
      <c r="C24" s="11">
        <v>9055</v>
      </c>
      <c r="D24" s="12">
        <f>Income_Statement!D$17*Assumptions!D$33</f>
        <v>9642.0508554400021</v>
      </c>
      <c r="E24" s="12">
        <f>Income_Statement!E$17*Assumptions!E$33</f>
        <v>10232.948537333601</v>
      </c>
      <c r="F24" s="12">
        <f>Income_Statement!F$17*Assumptions!F$33</f>
        <v>10823.122611797553</v>
      </c>
    </row>
    <row r="25" spans="1:6" ht="15" customHeight="1" x14ac:dyDescent="0.2">
      <c r="A25" s="6" t="s">
        <v>142</v>
      </c>
      <c r="B25" s="11">
        <v>9967</v>
      </c>
      <c r="C25" s="11">
        <v>7979</v>
      </c>
      <c r="D25" s="12">
        <f>Assumptions!D$35</f>
        <v>7979</v>
      </c>
      <c r="E25" s="12">
        <f>Assumptions!E$35</f>
        <v>7979</v>
      </c>
      <c r="F25" s="12">
        <f>Assumptions!F$35</f>
        <v>7979</v>
      </c>
    </row>
    <row r="26" spans="1:6" ht="15" customHeight="1" x14ac:dyDescent="0.2">
      <c r="A26" s="6" t="s">
        <v>143</v>
      </c>
      <c r="B26" s="11">
        <v>10912</v>
      </c>
      <c r="C26" s="11">
        <v>12350</v>
      </c>
      <c r="D26" s="12">
        <f>Assumptions!D$36</f>
        <v>12350</v>
      </c>
      <c r="E26" s="12">
        <f>Assumptions!E$36</f>
        <v>12350</v>
      </c>
      <c r="F26" s="12">
        <f>Assumptions!F$36</f>
        <v>12350</v>
      </c>
    </row>
    <row r="27" spans="1:6" ht="15" customHeight="1" x14ac:dyDescent="0.2">
      <c r="A27" s="17" t="s">
        <v>144</v>
      </c>
      <c r="B27" s="18">
        <f>SUM(B22:B26)</f>
        <v>176392</v>
      </c>
      <c r="C27" s="18">
        <f>SUM(C22:C26)</f>
        <v>165631</v>
      </c>
      <c r="D27" s="18">
        <f>SUM(D22:D26)</f>
        <v>174211.98740072674</v>
      </c>
      <c r="E27" s="18">
        <f>SUM(E22:E26)</f>
        <v>182900.42055228274</v>
      </c>
      <c r="F27" s="18">
        <f>SUM(F22:F26)</f>
        <v>191648.67981203241</v>
      </c>
    </row>
    <row r="28" spans="1:6" x14ac:dyDescent="0.2">
      <c r="A28" s="3"/>
      <c r="B28" s="3"/>
      <c r="C28" s="3"/>
      <c r="D28" s="3"/>
      <c r="E28" s="3"/>
      <c r="F28" s="3"/>
    </row>
    <row r="29" spans="1:6" ht="15" customHeight="1" x14ac:dyDescent="0.2">
      <c r="A29" s="6" t="s">
        <v>145</v>
      </c>
      <c r="B29" s="11">
        <v>85750</v>
      </c>
      <c r="C29" s="11">
        <v>78328</v>
      </c>
      <c r="D29" s="12">
        <f>Assumptions!D$37</f>
        <v>78328</v>
      </c>
      <c r="E29" s="12">
        <f>Assumptions!E$37</f>
        <v>78328</v>
      </c>
      <c r="F29" s="12">
        <f>Assumptions!F$37</f>
        <v>78328</v>
      </c>
    </row>
    <row r="30" spans="1:6" ht="15" customHeight="1" x14ac:dyDescent="0.2">
      <c r="A30" s="6" t="s">
        <v>146</v>
      </c>
      <c r="B30" s="11">
        <v>45888</v>
      </c>
      <c r="C30" s="11">
        <v>41549</v>
      </c>
      <c r="D30" s="12">
        <f>Income_Statement!D$17*Assumptions!D$34</f>
        <v>44141.131897840009</v>
      </c>
      <c r="E30" s="12">
        <f>Income_Statement!E$17*Assumptions!E$34</f>
        <v>46846.250643389605</v>
      </c>
      <c r="F30" s="12">
        <f>Income_Statement!F$17*Assumptions!F$34</f>
        <v>49548.056727403477</v>
      </c>
    </row>
    <row r="31" spans="1:6" ht="15" customHeight="1" x14ac:dyDescent="0.2">
      <c r="A31" s="17" t="s">
        <v>147</v>
      </c>
      <c r="B31" s="18">
        <f>SUM(B29:B30)</f>
        <v>131638</v>
      </c>
      <c r="C31" s="18">
        <f>SUM(C29:C30)</f>
        <v>119877</v>
      </c>
      <c r="D31" s="18">
        <f>SUM(D29:D30)</f>
        <v>122469.13189784001</v>
      </c>
      <c r="E31" s="18">
        <f>SUM(E29:E30)</f>
        <v>125174.25064338961</v>
      </c>
      <c r="F31" s="18">
        <f>SUM(F29:F30)</f>
        <v>127876.05672740348</v>
      </c>
    </row>
    <row r="32" spans="1:6" ht="15" customHeight="1" x14ac:dyDescent="0.2">
      <c r="A32" s="17" t="s">
        <v>148</v>
      </c>
      <c r="B32" s="20">
        <f>B27+B31</f>
        <v>308030</v>
      </c>
      <c r="C32" s="20">
        <f>C27+C31</f>
        <v>285508</v>
      </c>
      <c r="D32" s="20">
        <f>D27+D31</f>
        <v>296681.11929856671</v>
      </c>
      <c r="E32" s="20">
        <f>E27+E31</f>
        <v>308074.67119567236</v>
      </c>
      <c r="F32" s="20">
        <f>F27+F31</f>
        <v>319524.73653943592</v>
      </c>
    </row>
    <row r="33" spans="1:6" x14ac:dyDescent="0.2">
      <c r="A33" s="3"/>
      <c r="B33" s="3"/>
      <c r="C33" s="3"/>
      <c r="D33" s="3"/>
      <c r="E33" s="3"/>
      <c r="F33" s="3"/>
    </row>
    <row r="34" spans="1:6" ht="15" customHeight="1" x14ac:dyDescent="0.2">
      <c r="A34" s="39" t="s">
        <v>149</v>
      </c>
      <c r="B34" s="39"/>
      <c r="C34" s="39"/>
      <c r="D34" s="39"/>
      <c r="E34" s="39"/>
      <c r="F34" s="39"/>
    </row>
    <row r="35" spans="1:6" ht="15" customHeight="1" x14ac:dyDescent="0.2">
      <c r="A35" s="6" t="s">
        <v>150</v>
      </c>
      <c r="B35" s="11">
        <v>83276</v>
      </c>
      <c r="C35" s="11">
        <v>93568</v>
      </c>
      <c r="D35" s="12">
        <f>C35+Cash_Flow!D$9</f>
        <v>107234.94364372001</v>
      </c>
      <c r="E35" s="12">
        <f>D35+Cash_Flow!E$9</f>
        <v>121739.44409342681</v>
      </c>
      <c r="F35" s="12">
        <f>E35+Cash_Flow!F$9</f>
        <v>137080.47568537839</v>
      </c>
    </row>
    <row r="36" spans="1:6" ht="15" customHeight="1" x14ac:dyDescent="0.2">
      <c r="A36" s="6" t="s">
        <v>151</v>
      </c>
      <c r="B36" s="11">
        <v>-19154</v>
      </c>
      <c r="C36" s="11">
        <v>-14264</v>
      </c>
      <c r="D36" s="12">
        <f>C36+Income_Statement!D$38+Cash_Flow!D$26+Cash_Flow!D$27+Cash_Flow!D$25</f>
        <v>-2617.7892214559979</v>
      </c>
      <c r="E36" s="12">
        <f>D36+Income_Statement!E$38+Cash_Flow!E$26+Cash_Flow!E$27+Cash_Flow!E$25</f>
        <v>21363.006046569441</v>
      </c>
      <c r="F36" s="12">
        <f>E36+Income_Statement!F$38+Cash_Flow!F$26+Cash_Flow!F$27+Cash_Flow!F$25</f>
        <v>58344.898664403416</v>
      </c>
    </row>
    <row r="37" spans="1:6" ht="15" customHeight="1" x14ac:dyDescent="0.2">
      <c r="A37" s="6" t="s">
        <v>152</v>
      </c>
      <c r="B37" s="11">
        <v>-7172</v>
      </c>
      <c r="C37" s="11">
        <v>-5571</v>
      </c>
      <c r="D37" s="12">
        <f>Assumptions!D$38</f>
        <v>-5571</v>
      </c>
      <c r="E37" s="12">
        <f>Assumptions!E$38</f>
        <v>-5571</v>
      </c>
      <c r="F37" s="12">
        <f>Assumptions!F$38</f>
        <v>-5571</v>
      </c>
    </row>
    <row r="38" spans="1:6" ht="15" customHeight="1" x14ac:dyDescent="0.2">
      <c r="A38" s="17" t="s">
        <v>153</v>
      </c>
      <c r="B38" s="18">
        <f>SUM(B35:B37)</f>
        <v>56950</v>
      </c>
      <c r="C38" s="18">
        <f>SUM(C35:C37)</f>
        <v>73733</v>
      </c>
      <c r="D38" s="18">
        <f>SUM(D35:D37)</f>
        <v>99046.154422264008</v>
      </c>
      <c r="E38" s="18">
        <f>SUM(E35:E37)</f>
        <v>137531.45013999625</v>
      </c>
      <c r="F38" s="18">
        <f>SUM(F35:F37)</f>
        <v>189854.37434978181</v>
      </c>
    </row>
    <row r="39" spans="1:6" ht="15" customHeight="1" x14ac:dyDescent="0.2">
      <c r="A39" s="17" t="s">
        <v>154</v>
      </c>
      <c r="B39" s="20">
        <f>B32+B38</f>
        <v>364980</v>
      </c>
      <c r="C39" s="20">
        <f>C32+C38</f>
        <v>359241</v>
      </c>
      <c r="D39" s="20">
        <f>D32+D38</f>
        <v>395727.27372083074</v>
      </c>
      <c r="E39" s="20">
        <f>E32+E38</f>
        <v>445606.12133566861</v>
      </c>
      <c r="F39" s="20">
        <f>F32+F38</f>
        <v>509379.1108892177</v>
      </c>
    </row>
    <row r="40" spans="1:6" x14ac:dyDescent="0.2">
      <c r="A40" s="3"/>
      <c r="B40" s="3"/>
      <c r="C40" s="3"/>
      <c r="D40" s="3"/>
      <c r="E40" s="3"/>
      <c r="F40" s="3"/>
    </row>
    <row r="41" spans="1:6" ht="15" customHeight="1" x14ac:dyDescent="0.2">
      <c r="A41" s="17" t="s">
        <v>155</v>
      </c>
      <c r="B41" s="25">
        <f>B19-B39</f>
        <v>0</v>
      </c>
      <c r="C41" s="25">
        <f>C19-C39</f>
        <v>0</v>
      </c>
      <c r="D41" s="25">
        <f>D19-D39</f>
        <v>0</v>
      </c>
      <c r="E41" s="25">
        <f>E19-E39</f>
        <v>0</v>
      </c>
      <c r="F41" s="25">
        <f>F19-F39</f>
        <v>0</v>
      </c>
    </row>
  </sheetData>
  <mergeCells count="5">
    <mergeCell ref="A1:F1"/>
    <mergeCell ref="A2:F2"/>
    <mergeCell ref="A6:F6"/>
    <mergeCell ref="A21:F21"/>
    <mergeCell ref="A34:F3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showGridLines="0" zoomScaleNormal="100" workbookViewId="0">
      <pane xSplit="1" ySplit="4" topLeftCell="B15" activePane="bottomRight" state="frozen"/>
      <selection pane="topRight" activeCell="B1" sqref="B1"/>
      <selection pane="bottomLeft" activeCell="A5" sqref="A5"/>
      <selection pane="bottomRight" activeCell="I18" sqref="I18"/>
    </sheetView>
  </sheetViews>
  <sheetFormatPr baseColWidth="10" defaultColWidth="8.6640625" defaultRowHeight="15" x14ac:dyDescent="0.2"/>
  <cols>
    <col min="1" max="1" width="46" customWidth="1"/>
    <col min="2" max="6" width="14" customWidth="1"/>
  </cols>
  <sheetData>
    <row r="1" spans="1:6" ht="17.25" customHeight="1" x14ac:dyDescent="0.2">
      <c r="A1" s="40" t="s">
        <v>156</v>
      </c>
      <c r="B1" s="40"/>
      <c r="C1" s="40"/>
      <c r="D1" s="40"/>
      <c r="E1" s="40"/>
      <c r="F1" s="40"/>
    </row>
    <row r="2" spans="1:6" ht="15" customHeight="1" x14ac:dyDescent="0.2">
      <c r="A2" s="38" t="s">
        <v>157</v>
      </c>
      <c r="B2" s="38"/>
      <c r="C2" s="38"/>
      <c r="D2" s="38"/>
      <c r="E2" s="38"/>
      <c r="F2" s="38"/>
    </row>
    <row r="4" spans="1:6" ht="15" customHeight="1" x14ac:dyDescent="0.2">
      <c r="A4" s="1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</row>
    <row r="6" spans="1:6" ht="15" customHeight="1" x14ac:dyDescent="0.2">
      <c r="A6" s="39" t="s">
        <v>158</v>
      </c>
      <c r="B6" s="39"/>
      <c r="C6" s="39"/>
      <c r="D6" s="39"/>
      <c r="E6" s="39"/>
      <c r="F6" s="39"/>
    </row>
    <row r="7" spans="1:6" ht="15" customHeight="1" x14ac:dyDescent="0.2">
      <c r="A7" s="6" t="s">
        <v>159</v>
      </c>
      <c r="B7" s="24">
        <f>Income_Statement!B$38</f>
        <v>93736</v>
      </c>
      <c r="C7" s="24">
        <f>Income_Statement!C$38</f>
        <v>112010</v>
      </c>
      <c r="D7" s="24">
        <f>Income_Statement!D$38</f>
        <v>121489.84077854401</v>
      </c>
      <c r="E7" s="24">
        <f>Income_Statement!E$38</f>
        <v>131300.93416802544</v>
      </c>
      <c r="F7" s="24">
        <f>Income_Statement!F$38</f>
        <v>141792.83568483399</v>
      </c>
    </row>
    <row r="8" spans="1:6" ht="15" customHeight="1" x14ac:dyDescent="0.2">
      <c r="A8" s="6" t="s">
        <v>160</v>
      </c>
      <c r="B8" s="11">
        <v>11445</v>
      </c>
      <c r="C8" s="11">
        <v>11698</v>
      </c>
      <c r="D8" s="12">
        <f>Retail_CapEx!D$35+Income_Statement!D$17*Assumptions!D$43</f>
        <v>10649.472540992594</v>
      </c>
      <c r="E8" s="12">
        <f>Retail_CapEx!E$35+Income_Statement!E$17*Assumptions!E$43</f>
        <v>11337.116461282421</v>
      </c>
      <c r="F8" s="12">
        <f>Retail_CapEx!F$35+Income_Statement!F$17*Assumptions!F$43</f>
        <v>11534.733948205405</v>
      </c>
    </row>
    <row r="9" spans="1:6" ht="15" customHeight="1" x14ac:dyDescent="0.2">
      <c r="A9" s="6" t="s">
        <v>161</v>
      </c>
      <c r="B9" s="11">
        <v>11688</v>
      </c>
      <c r="C9" s="11">
        <v>12863</v>
      </c>
      <c r="D9" s="12">
        <f>Income_Statement!D$17*Assumptions!D$44</f>
        <v>13666.943643720002</v>
      </c>
      <c r="E9" s="12">
        <f>Income_Statement!E$17*Assumptions!E$44</f>
        <v>14504.500449706802</v>
      </c>
      <c r="F9" s="12">
        <f>Income_Statement!F$17*Assumptions!F$44</f>
        <v>15341.031591951578</v>
      </c>
    </row>
    <row r="10" spans="1:6" ht="15" customHeight="1" x14ac:dyDescent="0.2">
      <c r="A10" s="6" t="s">
        <v>162</v>
      </c>
      <c r="B10" s="11">
        <v>-2266</v>
      </c>
      <c r="C10" s="11">
        <v>-89</v>
      </c>
      <c r="D10" s="12">
        <v>0</v>
      </c>
      <c r="E10" s="12">
        <v>0</v>
      </c>
      <c r="F10" s="12">
        <v>0</v>
      </c>
    </row>
    <row r="11" spans="1:6" ht="15" customHeight="1" x14ac:dyDescent="0.2">
      <c r="A11" s="6" t="s">
        <v>163</v>
      </c>
      <c r="B11" s="11">
        <v>-3788</v>
      </c>
      <c r="C11" s="11">
        <v>-6682</v>
      </c>
      <c r="D11" s="12">
        <f>-(Balance_Sheet!D$9-Balance_Sheet!C$9)</f>
        <v>-2513.7596901917786</v>
      </c>
      <c r="E11" s="12">
        <f>-(Balance_Sheet!E$9-Balance_Sheet!D$9)</f>
        <v>-2591.7216410816472</v>
      </c>
      <c r="F11" s="12">
        <f>-(Balance_Sheet!F$9-Balance_Sheet!E$9)</f>
        <v>-2588.5478445132539</v>
      </c>
    </row>
    <row r="12" spans="1:6" ht="15" customHeight="1" x14ac:dyDescent="0.2">
      <c r="A12" s="6" t="s">
        <v>164</v>
      </c>
      <c r="B12" s="11">
        <v>-1356</v>
      </c>
      <c r="C12" s="11">
        <v>-347</v>
      </c>
      <c r="D12" s="12">
        <f>-(Balance_Sheet!D$10-Balance_Sheet!C$10)</f>
        <v>-2070.984090760001</v>
      </c>
      <c r="E12" s="12">
        <f>-(Balance_Sheet!E$10-Balance_Sheet!D$10)</f>
        <v>-2160.3002406844025</v>
      </c>
      <c r="F12" s="12">
        <f>-(Balance_Sheet!F$10-Balance_Sheet!E$10)</f>
        <v>-2157.6547584760046</v>
      </c>
    </row>
    <row r="13" spans="1:6" ht="15" customHeight="1" x14ac:dyDescent="0.2">
      <c r="A13" s="6" t="s">
        <v>165</v>
      </c>
      <c r="B13" s="11">
        <v>-1046</v>
      </c>
      <c r="C13" s="11">
        <v>1400</v>
      </c>
      <c r="D13" s="12">
        <f>-(Balance_Sheet!D$11-Balance_Sheet!C$11)</f>
        <v>-284.86433676997422</v>
      </c>
      <c r="E13" s="12">
        <f>-(Balance_Sheet!E$11-Balance_Sheet!D$11)</f>
        <v>-307.43249406935138</v>
      </c>
      <c r="F13" s="12">
        <f>-(Balance_Sheet!F$11-Balance_Sheet!E$11)</f>
        <v>-312.79587009879833</v>
      </c>
    </row>
    <row r="14" spans="1:6" ht="15" customHeight="1" x14ac:dyDescent="0.2">
      <c r="A14" s="6" t="s">
        <v>166</v>
      </c>
      <c r="B14" s="11">
        <v>-11731</v>
      </c>
      <c r="C14" s="11">
        <v>-9197</v>
      </c>
      <c r="D14" s="12">
        <f>-((Balance_Sheet!D$12+Balance_Sheet!D$17)-(Balance_Sheet!C$12+Balance_Sheet!C$17))</f>
        <v>-6158.2941309600137</v>
      </c>
      <c r="E14" s="12">
        <f>-((Balance_Sheet!E$12+Balance_Sheet!E$17)-(Balance_Sheet!D$12+Balance_Sheet!D$17))</f>
        <v>-6402.2950671223953</v>
      </c>
      <c r="F14" s="12">
        <f>-((Balance_Sheet!F$12+Balance_Sheet!F$17)-(Balance_Sheet!E$12+Balance_Sheet!E$17))</f>
        <v>-6394.4548802011559</v>
      </c>
    </row>
    <row r="15" spans="1:6" ht="15" customHeight="1" x14ac:dyDescent="0.2">
      <c r="A15" s="6" t="s">
        <v>167</v>
      </c>
      <c r="B15" s="11">
        <v>6020</v>
      </c>
      <c r="C15" s="11">
        <v>902</v>
      </c>
      <c r="D15" s="12">
        <f>(Balance_Sheet!D$22-Balance_Sheet!C$22)</f>
        <v>3834.7387726867019</v>
      </c>
      <c r="E15" s="12">
        <f>(Balance_Sheet!E$22-Balance_Sheet!D$22)</f>
        <v>3774.2244484684197</v>
      </c>
      <c r="F15" s="12">
        <f>(Balance_Sheet!F$22-Balance_Sheet!E$22)</f>
        <v>3840.0684478086478</v>
      </c>
    </row>
    <row r="16" spans="1:6" ht="15" customHeight="1" x14ac:dyDescent="0.2">
      <c r="A16" s="6" t="s">
        <v>168</v>
      </c>
      <c r="B16" s="11">
        <v>15552</v>
      </c>
      <c r="C16" s="11">
        <v>-11076</v>
      </c>
      <c r="D16" s="12">
        <f>((Balance_Sheet!D$23+Balance_Sheet!D$24+Balance_Sheet!D$30)-(Balance_Sheet!C$23+Balance_Sheet!C$24+Balance_Sheet!C$30))</f>
        <v>7338.3805258800276</v>
      </c>
      <c r="E16" s="12">
        <f>((Balance_Sheet!E$23+Balance_Sheet!E$24+Balance_Sheet!E$30)-(Balance_Sheet!D$23+Balance_Sheet!D$24+Balance_Sheet!D$30))</f>
        <v>7619.3274486371956</v>
      </c>
      <c r="F16" s="12">
        <f>((Balance_Sheet!F$23+Balance_Sheet!F$24+Balance_Sheet!F$30)-(Balance_Sheet!E$23+Balance_Sheet!E$24+Balance_Sheet!E$30))</f>
        <v>7609.9968959549151</v>
      </c>
    </row>
    <row r="17" spans="1:6" ht="15" customHeight="1" x14ac:dyDescent="0.2">
      <c r="A17" s="17" t="s">
        <v>169</v>
      </c>
      <c r="B17" s="20">
        <f>SUM(B7:B16)</f>
        <v>118254</v>
      </c>
      <c r="C17" s="20">
        <f>SUM(C7:C16)</f>
        <v>111482</v>
      </c>
      <c r="D17" s="20">
        <f>SUM(D7:D16)</f>
        <v>145951.47401314159</v>
      </c>
      <c r="E17" s="20">
        <f>SUM(E7:E16)</f>
        <v>157074.35353316247</v>
      </c>
      <c r="F17" s="20">
        <f>SUM(F7:F16)</f>
        <v>168665.21321546531</v>
      </c>
    </row>
    <row r="18" spans="1:6" x14ac:dyDescent="0.2">
      <c r="A18" s="3"/>
      <c r="B18" s="3"/>
      <c r="C18" s="3"/>
      <c r="D18" s="3"/>
      <c r="E18" s="3"/>
      <c r="F18" s="3"/>
    </row>
    <row r="19" spans="1:6" ht="15" customHeight="1" x14ac:dyDescent="0.2">
      <c r="A19" s="39" t="s">
        <v>170</v>
      </c>
      <c r="B19" s="39"/>
      <c r="C19" s="39"/>
      <c r="D19" s="39"/>
      <c r="E19" s="39"/>
      <c r="F19" s="39"/>
    </row>
    <row r="20" spans="1:6" ht="15" customHeight="1" x14ac:dyDescent="0.2">
      <c r="A20" s="6" t="s">
        <v>171</v>
      </c>
      <c r="B20" s="11">
        <v>-9447</v>
      </c>
      <c r="C20" s="11">
        <v>-12715</v>
      </c>
      <c r="D20" s="12">
        <f>-(Retail_CapEx!D$21+Income_Statement!D$17*Assumptions!D$42)</f>
        <v>-12284.013680800001</v>
      </c>
      <c r="E20" s="12">
        <f>-(Retail_CapEx!E$21+Income_Statement!E$17*Assumptions!E$42)</f>
        <v>-13053.239635352</v>
      </c>
      <c r="F20" s="12">
        <f>-(Retail_CapEx!F$21+Income_Statement!F$17*Assumptions!F$42)</f>
        <v>-13325.840849566002</v>
      </c>
    </row>
    <row r="21" spans="1:6" ht="15" customHeight="1" x14ac:dyDescent="0.2">
      <c r="A21" s="6" t="s">
        <v>172</v>
      </c>
      <c r="B21" s="11">
        <v>12382</v>
      </c>
      <c r="C21" s="11">
        <v>27910</v>
      </c>
      <c r="D21" s="12">
        <v>0</v>
      </c>
      <c r="E21" s="12">
        <v>0</v>
      </c>
      <c r="F21" s="12">
        <v>0</v>
      </c>
    </row>
    <row r="22" spans="1:6" ht="15" customHeight="1" x14ac:dyDescent="0.2">
      <c r="A22" s="17" t="s">
        <v>173</v>
      </c>
      <c r="B22" s="20">
        <f>SUM(B20:B21)</f>
        <v>2935</v>
      </c>
      <c r="C22" s="20">
        <f>SUM(C20:C21)</f>
        <v>15195</v>
      </c>
      <c r="D22" s="20">
        <f>SUM(D20:D21)</f>
        <v>-12284.013680800001</v>
      </c>
      <c r="E22" s="20">
        <f>SUM(E20:E21)</f>
        <v>-13053.239635352</v>
      </c>
      <c r="F22" s="20">
        <f>SUM(F20:F21)</f>
        <v>-13325.840849566002</v>
      </c>
    </row>
    <row r="23" spans="1:6" x14ac:dyDescent="0.2">
      <c r="A23" s="3"/>
      <c r="B23" s="3"/>
      <c r="C23" s="3"/>
      <c r="D23" s="3"/>
      <c r="E23" s="3"/>
      <c r="F23" s="3"/>
    </row>
    <row r="24" spans="1:6" ht="15" customHeight="1" x14ac:dyDescent="0.2">
      <c r="A24" s="39" t="s">
        <v>174</v>
      </c>
      <c r="B24" s="39"/>
      <c r="C24" s="39"/>
      <c r="D24" s="39"/>
      <c r="E24" s="39"/>
      <c r="F24" s="39"/>
    </row>
    <row r="25" spans="1:6" ht="15" customHeight="1" x14ac:dyDescent="0.2">
      <c r="A25" s="6" t="s">
        <v>175</v>
      </c>
      <c r="B25" s="11">
        <v>-5441</v>
      </c>
      <c r="C25" s="11">
        <v>-5960</v>
      </c>
      <c r="D25" s="12">
        <f>C25</f>
        <v>-5960</v>
      </c>
      <c r="E25" s="12">
        <f>D25</f>
        <v>-5960</v>
      </c>
      <c r="F25" s="12">
        <f>E25</f>
        <v>-5960</v>
      </c>
    </row>
    <row r="26" spans="1:6" ht="15" customHeight="1" x14ac:dyDescent="0.2">
      <c r="A26" s="6" t="s">
        <v>176</v>
      </c>
      <c r="B26" s="11">
        <v>-15234</v>
      </c>
      <c r="C26" s="11">
        <v>-15421</v>
      </c>
      <c r="D26" s="12">
        <f>C26*(1+Assumptions!D$45)</f>
        <v>-15883.630000000001</v>
      </c>
      <c r="E26" s="12">
        <f>D26*(1+Assumptions!E$45)</f>
        <v>-16360.138900000002</v>
      </c>
      <c r="F26" s="12">
        <f>E26*(1+Assumptions!F$45)</f>
        <v>-16850.943067000004</v>
      </c>
    </row>
    <row r="27" spans="1:6" ht="15" customHeight="1" x14ac:dyDescent="0.2">
      <c r="A27" s="6" t="s">
        <v>177</v>
      </c>
      <c r="B27" s="11">
        <v>-94949</v>
      </c>
      <c r="C27" s="11">
        <v>-90711</v>
      </c>
      <c r="D27" s="12">
        <f>-Assumptions!D$46</f>
        <v>-88000</v>
      </c>
      <c r="E27" s="12">
        <f>-Assumptions!E$46</f>
        <v>-85000</v>
      </c>
      <c r="F27" s="12">
        <f>-Assumptions!F$46</f>
        <v>-82000</v>
      </c>
    </row>
    <row r="28" spans="1:6" ht="15" customHeight="1" x14ac:dyDescent="0.2">
      <c r="A28" s="6" t="s">
        <v>178</v>
      </c>
      <c r="B28" s="11">
        <v>-9958</v>
      </c>
      <c r="C28" s="11">
        <v>-6451</v>
      </c>
      <c r="D28" s="12">
        <v>0</v>
      </c>
      <c r="E28" s="12">
        <v>0</v>
      </c>
      <c r="F28" s="12">
        <v>0</v>
      </c>
    </row>
    <row r="29" spans="1:6" ht="15" customHeight="1" x14ac:dyDescent="0.2">
      <c r="A29" s="6" t="s">
        <v>179</v>
      </c>
      <c r="B29" s="11">
        <v>3960</v>
      </c>
      <c r="C29" s="11">
        <v>-2032</v>
      </c>
      <c r="D29" s="12">
        <v>0</v>
      </c>
      <c r="E29" s="12">
        <v>0</v>
      </c>
      <c r="F29" s="12">
        <v>0</v>
      </c>
    </row>
    <row r="30" spans="1:6" ht="15" customHeight="1" x14ac:dyDescent="0.2">
      <c r="A30" s="6" t="s">
        <v>180</v>
      </c>
      <c r="B30" s="11">
        <v>-361</v>
      </c>
      <c r="C30" s="11">
        <v>-111</v>
      </c>
      <c r="D30" s="12">
        <v>0</v>
      </c>
      <c r="E30" s="12">
        <v>0</v>
      </c>
      <c r="F30" s="12">
        <v>0</v>
      </c>
    </row>
    <row r="31" spans="1:6" ht="15" customHeight="1" x14ac:dyDescent="0.2">
      <c r="A31" s="17" t="s">
        <v>181</v>
      </c>
      <c r="B31" s="20">
        <f>SUM(B25:B30)</f>
        <v>-121983</v>
      </c>
      <c r="C31" s="20">
        <f>SUM(C25:C30)</f>
        <v>-120686</v>
      </c>
      <c r="D31" s="20">
        <f>SUM(D25:D30)</f>
        <v>-109843.63</v>
      </c>
      <c r="E31" s="20">
        <f>SUM(E25:E30)</f>
        <v>-107320.13890000001</v>
      </c>
      <c r="F31" s="20">
        <f>SUM(F25:F30)</f>
        <v>-104810.943067</v>
      </c>
    </row>
    <row r="32" spans="1:6" x14ac:dyDescent="0.2">
      <c r="A32" s="3"/>
      <c r="B32" s="3"/>
      <c r="C32" s="3"/>
      <c r="D32" s="3"/>
      <c r="E32" s="3"/>
      <c r="F32" s="3"/>
    </row>
    <row r="33" spans="1:6" ht="15" customHeight="1" x14ac:dyDescent="0.2">
      <c r="A33" s="17" t="s">
        <v>182</v>
      </c>
      <c r="B33" s="18">
        <f>B17+B22+B31</f>
        <v>-794</v>
      </c>
      <c r="C33" s="18">
        <f>C17+C22+C31</f>
        <v>5991</v>
      </c>
      <c r="D33" s="18">
        <f>D17+D22+D31</f>
        <v>23823.830332341575</v>
      </c>
      <c r="E33" s="18">
        <f>E17+E22+E31</f>
        <v>36700.974997810481</v>
      </c>
      <c r="F33" s="18">
        <f>F17+F22+F31</f>
        <v>50528.429298899297</v>
      </c>
    </row>
    <row r="34" spans="1:6" ht="15" customHeight="1" x14ac:dyDescent="0.2">
      <c r="A34" s="6" t="s">
        <v>183</v>
      </c>
      <c r="B34" s="11">
        <v>30737</v>
      </c>
      <c r="C34" s="12">
        <f>B35</f>
        <v>29943</v>
      </c>
      <c r="D34" s="12">
        <f>C35</f>
        <v>35934</v>
      </c>
      <c r="E34" s="12">
        <f>D35</f>
        <v>59757.830332341575</v>
      </c>
      <c r="F34" s="12">
        <f>E35</f>
        <v>96458.805330152056</v>
      </c>
    </row>
    <row r="35" spans="1:6" ht="15" customHeight="1" x14ac:dyDescent="0.2">
      <c r="A35" s="17" t="s">
        <v>184</v>
      </c>
      <c r="B35" s="20">
        <f>B33+B34</f>
        <v>29943</v>
      </c>
      <c r="C35" s="20">
        <f>C33+C34</f>
        <v>35934</v>
      </c>
      <c r="D35" s="20">
        <f>D33+D34</f>
        <v>59757.830332341575</v>
      </c>
      <c r="E35" s="20">
        <f>E33+E34</f>
        <v>96458.805330152056</v>
      </c>
      <c r="F35" s="20">
        <f>F33+F34</f>
        <v>146987.23462905135</v>
      </c>
    </row>
  </sheetData>
  <mergeCells count="5">
    <mergeCell ref="A1:F1"/>
    <mergeCell ref="A2:F2"/>
    <mergeCell ref="A6:F6"/>
    <mergeCell ref="A19:F19"/>
    <mergeCell ref="A24:F2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showGridLines="0" zoomScaleNormal="100" workbookViewId="0">
      <pane xSplit="1" ySplit="4" topLeftCell="B15" activePane="bottomRight" state="frozen"/>
      <selection pane="topRight" activeCell="B1" sqref="B1"/>
      <selection pane="bottomLeft" activeCell="A5" sqref="A5"/>
      <selection pane="bottomRight" activeCell="K17" sqref="K17"/>
    </sheetView>
  </sheetViews>
  <sheetFormatPr baseColWidth="10" defaultColWidth="8.6640625" defaultRowHeight="15" x14ac:dyDescent="0.2"/>
  <cols>
    <col min="1" max="1" width="46" customWidth="1"/>
    <col min="2" max="6" width="14" customWidth="1"/>
  </cols>
  <sheetData>
    <row r="1" spans="1:6" ht="17.25" customHeight="1" x14ac:dyDescent="0.2">
      <c r="A1" s="40" t="s">
        <v>185</v>
      </c>
      <c r="B1" s="40"/>
      <c r="C1" s="40"/>
      <c r="D1" s="40"/>
      <c r="E1" s="40"/>
      <c r="F1" s="40"/>
    </row>
    <row r="2" spans="1:6" ht="15" customHeight="1" x14ac:dyDescent="0.2">
      <c r="A2" s="38" t="s">
        <v>186</v>
      </c>
      <c r="B2" s="38"/>
      <c r="C2" s="38"/>
      <c r="D2" s="38"/>
      <c r="E2" s="38"/>
      <c r="F2" s="38"/>
    </row>
    <row r="4" spans="1:6" ht="15" customHeight="1" x14ac:dyDescent="0.2">
      <c r="A4" s="1" t="s">
        <v>187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</row>
    <row r="5" spans="1:6" x14ac:dyDescent="0.2">
      <c r="A5" s="3"/>
      <c r="B5" s="3"/>
      <c r="C5" s="3"/>
      <c r="D5" s="3"/>
      <c r="E5" s="3"/>
      <c r="F5" s="3"/>
    </row>
    <row r="6" spans="1:6" ht="15" customHeight="1" x14ac:dyDescent="0.2">
      <c r="A6" s="39" t="s">
        <v>188</v>
      </c>
      <c r="B6" s="39"/>
      <c r="C6" s="39"/>
      <c r="D6" s="39"/>
      <c r="E6" s="39"/>
      <c r="F6" s="39"/>
    </row>
    <row r="7" spans="1:6" ht="15" customHeight="1" x14ac:dyDescent="0.2">
      <c r="A7" s="6" t="s">
        <v>189</v>
      </c>
      <c r="B7" s="4" t="s">
        <v>91</v>
      </c>
      <c r="C7" s="4" t="s">
        <v>91</v>
      </c>
      <c r="D7" s="26">
        <v>16</v>
      </c>
      <c r="E7" s="26">
        <v>17</v>
      </c>
      <c r="F7" s="26">
        <v>18</v>
      </c>
    </row>
    <row r="8" spans="1:6" ht="15" customHeight="1" x14ac:dyDescent="0.2">
      <c r="A8" s="6" t="s">
        <v>190</v>
      </c>
      <c r="B8" s="4" t="s">
        <v>91</v>
      </c>
      <c r="C8" s="4" t="s">
        <v>91</v>
      </c>
      <c r="D8" s="27">
        <v>12</v>
      </c>
      <c r="E8" s="27">
        <v>12.5</v>
      </c>
      <c r="F8" s="27">
        <v>13</v>
      </c>
    </row>
    <row r="9" spans="1:6" ht="15" customHeight="1" x14ac:dyDescent="0.2">
      <c r="A9" s="17" t="s">
        <v>191</v>
      </c>
      <c r="B9" s="11">
        <v>142</v>
      </c>
      <c r="C9" s="11">
        <v>191</v>
      </c>
      <c r="D9" s="18">
        <f>D7*D8</f>
        <v>192</v>
      </c>
      <c r="E9" s="18">
        <f>E7*E8</f>
        <v>212.5</v>
      </c>
      <c r="F9" s="18">
        <f>F7*F8</f>
        <v>234</v>
      </c>
    </row>
    <row r="10" spans="1:6" x14ac:dyDescent="0.2">
      <c r="A10" s="3"/>
      <c r="B10" s="3"/>
      <c r="C10" s="3"/>
      <c r="D10" s="3"/>
      <c r="E10" s="3"/>
      <c r="F10" s="3"/>
    </row>
    <row r="11" spans="1:6" ht="15" customHeight="1" x14ac:dyDescent="0.2">
      <c r="A11" s="39" t="s">
        <v>192</v>
      </c>
      <c r="B11" s="39"/>
      <c r="C11" s="39"/>
      <c r="D11" s="39"/>
      <c r="E11" s="39"/>
      <c r="F11" s="39"/>
    </row>
    <row r="12" spans="1:6" ht="15" customHeight="1" x14ac:dyDescent="0.2">
      <c r="A12" s="6" t="s">
        <v>193</v>
      </c>
      <c r="B12" s="4" t="s">
        <v>91</v>
      </c>
      <c r="C12" s="4" t="s">
        <v>91</v>
      </c>
      <c r="D12" s="26">
        <v>138</v>
      </c>
      <c r="E12" s="26">
        <v>142</v>
      </c>
      <c r="F12" s="26">
        <v>146</v>
      </c>
    </row>
    <row r="13" spans="1:6" ht="15" customHeight="1" x14ac:dyDescent="0.2">
      <c r="A13" s="6" t="s">
        <v>194</v>
      </c>
      <c r="B13" s="4" t="s">
        <v>91</v>
      </c>
      <c r="C13" s="4" t="s">
        <v>91</v>
      </c>
      <c r="D13" s="27">
        <v>2.5</v>
      </c>
      <c r="E13" s="27">
        <v>2.6</v>
      </c>
      <c r="F13" s="27">
        <v>2.7</v>
      </c>
    </row>
    <row r="14" spans="1:6" ht="15" customHeight="1" x14ac:dyDescent="0.2">
      <c r="A14" s="17" t="s">
        <v>195</v>
      </c>
      <c r="B14" s="11">
        <v>255</v>
      </c>
      <c r="C14" s="11">
        <v>343</v>
      </c>
      <c r="D14" s="18">
        <f>D12*D13</f>
        <v>345</v>
      </c>
      <c r="E14" s="18">
        <f>E12*E13</f>
        <v>369.2</v>
      </c>
      <c r="F14" s="18">
        <f>F12*F13</f>
        <v>394.20000000000005</v>
      </c>
    </row>
    <row r="15" spans="1:6" x14ac:dyDescent="0.2">
      <c r="A15" s="3"/>
      <c r="B15" s="3"/>
      <c r="C15" s="3"/>
      <c r="D15" s="3"/>
      <c r="E15" s="3"/>
      <c r="F15" s="3"/>
    </row>
    <row r="16" spans="1:6" ht="15" customHeight="1" x14ac:dyDescent="0.2">
      <c r="A16" s="39" t="s">
        <v>196</v>
      </c>
      <c r="B16" s="39"/>
      <c r="C16" s="39"/>
      <c r="D16" s="39"/>
      <c r="E16" s="39"/>
      <c r="F16" s="39"/>
    </row>
    <row r="17" spans="1:6" ht="15" customHeight="1" x14ac:dyDescent="0.2">
      <c r="A17" s="6" t="s">
        <v>197</v>
      </c>
      <c r="B17" s="4" t="s">
        <v>91</v>
      </c>
      <c r="C17" s="4" t="s">
        <v>91</v>
      </c>
      <c r="D17" s="7">
        <v>0.08</v>
      </c>
      <c r="E17" s="7">
        <v>0.08</v>
      </c>
      <c r="F17" s="7">
        <v>7.0000000000000007E-2</v>
      </c>
    </row>
    <row r="18" spans="1:6" ht="15" customHeight="1" x14ac:dyDescent="0.2">
      <c r="A18" s="17" t="s">
        <v>198</v>
      </c>
      <c r="B18" s="11">
        <v>170</v>
      </c>
      <c r="C18" s="11">
        <v>229</v>
      </c>
      <c r="D18" s="18">
        <f>C18*(1+D17)</f>
        <v>247.32000000000002</v>
      </c>
      <c r="E18" s="18">
        <f>D18*(1+E17)</f>
        <v>267.10560000000004</v>
      </c>
      <c r="F18" s="18">
        <f>E18*(1+F17)</f>
        <v>285.80299200000007</v>
      </c>
    </row>
    <row r="19" spans="1:6" x14ac:dyDescent="0.2">
      <c r="A19" s="3"/>
      <c r="B19" s="3"/>
      <c r="C19" s="3"/>
      <c r="D19" s="3"/>
      <c r="E19" s="3"/>
      <c r="F19" s="3"/>
    </row>
    <row r="20" spans="1:6" ht="15" customHeight="1" x14ac:dyDescent="0.2">
      <c r="A20" s="39" t="s">
        <v>199</v>
      </c>
      <c r="B20" s="39"/>
      <c r="C20" s="39"/>
      <c r="D20" s="39"/>
      <c r="E20" s="39"/>
      <c r="F20" s="39"/>
    </row>
    <row r="21" spans="1:6" ht="15" customHeight="1" x14ac:dyDescent="0.2">
      <c r="A21" s="17" t="s">
        <v>200</v>
      </c>
      <c r="B21" s="20">
        <f>B9+B14+B18</f>
        <v>567</v>
      </c>
      <c r="C21" s="20">
        <f>C9+C14+C18</f>
        <v>763</v>
      </c>
      <c r="D21" s="20">
        <f>D9+D14+D18</f>
        <v>784.32</v>
      </c>
      <c r="E21" s="20">
        <f>E9+E14+E18</f>
        <v>848.80560000000014</v>
      </c>
      <c r="F21" s="20">
        <f>F9+F14+F18</f>
        <v>914.00299200000018</v>
      </c>
    </row>
    <row r="22" spans="1:6" ht="15" customHeight="1" x14ac:dyDescent="0.2">
      <c r="A22" s="6" t="s">
        <v>201</v>
      </c>
      <c r="B22" s="8">
        <f>B21/9447</f>
        <v>6.0019053667831057E-2</v>
      </c>
      <c r="C22" s="8">
        <f>C21/12715</f>
        <v>6.0007864726700749E-2</v>
      </c>
      <c r="D22" s="8">
        <f>D21/(-Cash_Flow!D$20)</f>
        <v>6.3848838041095451E-2</v>
      </c>
      <c r="E22" s="8">
        <f>E21/(-Cash_Flow!E$20)</f>
        <v>6.5026432036165621E-2</v>
      </c>
      <c r="F22" s="8">
        <f>F21/(-Cash_Flow!F$20)</f>
        <v>6.8588766916705859E-2</v>
      </c>
    </row>
    <row r="23" spans="1:6" x14ac:dyDescent="0.2">
      <c r="A23" s="3"/>
      <c r="B23" s="3"/>
      <c r="C23" s="3"/>
      <c r="D23" s="3"/>
      <c r="E23" s="3"/>
      <c r="F23" s="3"/>
    </row>
    <row r="24" spans="1:6" ht="15" customHeight="1" x14ac:dyDescent="0.2">
      <c r="A24" s="39" t="s">
        <v>202</v>
      </c>
      <c r="B24" s="39"/>
      <c r="C24" s="39"/>
      <c r="D24" s="39"/>
      <c r="E24" s="39"/>
      <c r="F24" s="39"/>
    </row>
    <row r="25" spans="1:6" ht="15" customHeight="1" x14ac:dyDescent="0.2">
      <c r="A25" s="6" t="s">
        <v>203</v>
      </c>
      <c r="B25" s="3"/>
      <c r="C25" s="3"/>
      <c r="D25" s="26">
        <v>15</v>
      </c>
      <c r="E25" s="28">
        <f t="shared" ref="E25:F27" si="0">D25</f>
        <v>15</v>
      </c>
      <c r="F25" s="28">
        <f t="shared" si="0"/>
        <v>15</v>
      </c>
    </row>
    <row r="26" spans="1:6" ht="15" customHeight="1" x14ac:dyDescent="0.2">
      <c r="A26" s="6" t="s">
        <v>204</v>
      </c>
      <c r="B26" s="3"/>
      <c r="C26" s="3"/>
      <c r="D26" s="26">
        <v>8</v>
      </c>
      <c r="E26" s="28">
        <f t="shared" si="0"/>
        <v>8</v>
      </c>
      <c r="F26" s="28">
        <f t="shared" si="0"/>
        <v>8</v>
      </c>
    </row>
    <row r="27" spans="1:6" ht="15" customHeight="1" x14ac:dyDescent="0.2">
      <c r="A27" s="6" t="s">
        <v>205</v>
      </c>
      <c r="B27" s="3"/>
      <c r="C27" s="3"/>
      <c r="D27" s="26">
        <v>4</v>
      </c>
      <c r="E27" s="28">
        <f t="shared" si="0"/>
        <v>4</v>
      </c>
      <c r="F27" s="28">
        <f t="shared" si="0"/>
        <v>4</v>
      </c>
    </row>
    <row r="28" spans="1:6" x14ac:dyDescent="0.2">
      <c r="A28" s="3"/>
      <c r="B28" s="3"/>
      <c r="C28" s="3"/>
      <c r="D28" s="3"/>
      <c r="E28" s="3"/>
      <c r="F28" s="3"/>
    </row>
    <row r="29" spans="1:6" ht="15" customHeight="1" x14ac:dyDescent="0.2">
      <c r="A29" s="6" t="s">
        <v>206</v>
      </c>
      <c r="B29" s="11">
        <v>1800</v>
      </c>
      <c r="C29" s="12">
        <f>B29+B9-B32</f>
        <v>1817.2666666666667</v>
      </c>
      <c r="D29" s="12">
        <f>C29+C9-C32</f>
        <v>1880.7488888888888</v>
      </c>
      <c r="E29" s="12">
        <f>D29+D9-D32</f>
        <v>1940.9656296296296</v>
      </c>
      <c r="F29" s="12">
        <f>E29+E9-E32</f>
        <v>2016.9845876543211</v>
      </c>
    </row>
    <row r="30" spans="1:6" ht="15" customHeight="1" x14ac:dyDescent="0.2">
      <c r="A30" s="6" t="s">
        <v>207</v>
      </c>
      <c r="B30" s="11">
        <v>700</v>
      </c>
      <c r="C30" s="12">
        <f>B30+B14-B32</f>
        <v>830.26666666666665</v>
      </c>
      <c r="D30" s="12">
        <f>C30+C14-C32</f>
        <v>1045.7488888888888</v>
      </c>
      <c r="E30" s="12">
        <f>D30+D14-D32</f>
        <v>1258.9656296296296</v>
      </c>
      <c r="F30" s="12">
        <f>E30+E14-E32</f>
        <v>1491.6845876543209</v>
      </c>
    </row>
    <row r="31" spans="1:6" ht="15" customHeight="1" x14ac:dyDescent="0.2">
      <c r="A31" s="6" t="s">
        <v>208</v>
      </c>
      <c r="B31" s="11">
        <v>500</v>
      </c>
      <c r="C31" s="12">
        <f>B31+B18-B32</f>
        <v>545.26666666666665</v>
      </c>
      <c r="D31" s="12">
        <f>C31+C18-C32</f>
        <v>646.74888888888893</v>
      </c>
      <c r="E31" s="12">
        <f>D31+D18-D32</f>
        <v>762.28562962962974</v>
      </c>
      <c r="F31" s="12">
        <f>E31+E18-E32</f>
        <v>892.91018765432113</v>
      </c>
    </row>
    <row r="32" spans="1:6" ht="15" customHeight="1" x14ac:dyDescent="0.2">
      <c r="A32" s="6" t="s">
        <v>209</v>
      </c>
      <c r="B32" s="12">
        <f>B29/$D$25+(B9*0.5)/$D$25</f>
        <v>124.73333333333333</v>
      </c>
      <c r="C32" s="12">
        <f>C29/$D$25+(C9*0.5)/$D$25</f>
        <v>127.51777777777777</v>
      </c>
      <c r="D32" s="12">
        <f>D29/D25+(D9*0.5)/D25</f>
        <v>131.78325925925924</v>
      </c>
      <c r="E32" s="12">
        <f>E29/E25+(E9*0.5)/E25</f>
        <v>136.48104197530864</v>
      </c>
      <c r="F32" s="12">
        <f>F29/F25+(F9*0.5)/F25</f>
        <v>142.26563917695475</v>
      </c>
    </row>
    <row r="33" spans="1:6" ht="15" customHeight="1" x14ac:dyDescent="0.2">
      <c r="A33" s="6" t="s">
        <v>210</v>
      </c>
      <c r="B33" s="12">
        <f>B30/$D$26+(B14*0.5)/$D$26</f>
        <v>103.4375</v>
      </c>
      <c r="C33" s="12">
        <f>C30/$D$26+(C14*0.5)/$D$26</f>
        <v>125.22083333333333</v>
      </c>
      <c r="D33" s="12">
        <f>D30/D26+(D14*0.5)/D26</f>
        <v>152.2811111111111</v>
      </c>
      <c r="E33" s="12">
        <f>E30/E26+(E14*0.5)/E26</f>
        <v>180.44570370370369</v>
      </c>
      <c r="F33" s="12">
        <f>F30/F26+(F14*0.5)/F26</f>
        <v>211.09807345679013</v>
      </c>
    </row>
    <row r="34" spans="1:6" ht="15" customHeight="1" x14ac:dyDescent="0.2">
      <c r="A34" s="6" t="s">
        <v>211</v>
      </c>
      <c r="B34" s="12">
        <f>B31/$D$27+(B18*0.5)/$D$27</f>
        <v>146.25</v>
      </c>
      <c r="C34" s="12">
        <f>C31/$D$27+(C18*0.5)/$D$27</f>
        <v>164.94166666666666</v>
      </c>
      <c r="D34" s="12">
        <f>D31/D27+(D18*0.5)/D27</f>
        <v>192.60222222222222</v>
      </c>
      <c r="E34" s="12">
        <f>E31/E27+(E18*0.5)/E27</f>
        <v>223.95960740740745</v>
      </c>
      <c r="F34" s="12">
        <f>F31/F27+(F18*0.5)/F27</f>
        <v>258.95292091358027</v>
      </c>
    </row>
    <row r="35" spans="1:6" ht="15" customHeight="1" x14ac:dyDescent="0.2">
      <c r="A35" s="17" t="s">
        <v>212</v>
      </c>
      <c r="B35" s="20">
        <f>B32+B33+B34</f>
        <v>374.42083333333335</v>
      </c>
      <c r="C35" s="20">
        <f>C32+C33+C34</f>
        <v>417.68027777777775</v>
      </c>
      <c r="D35" s="20">
        <f>D32+D33+D34</f>
        <v>476.66659259259256</v>
      </c>
      <c r="E35" s="20">
        <f>E32+E33+E34</f>
        <v>540.88635308641983</v>
      </c>
      <c r="F35" s="20">
        <f>F32+F33+F34</f>
        <v>612.31663354732518</v>
      </c>
    </row>
  </sheetData>
  <mergeCells count="7">
    <mergeCell ref="A20:F20"/>
    <mergeCell ref="A24:F24"/>
    <mergeCell ref="A1:F1"/>
    <mergeCell ref="A2:F2"/>
    <mergeCell ref="A6:F6"/>
    <mergeCell ref="A11:F11"/>
    <mergeCell ref="A16:F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showGridLines="0" tabSelected="1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baseColWidth="10" defaultColWidth="8.6640625" defaultRowHeight="15" x14ac:dyDescent="0.2"/>
  <cols>
    <col min="1" max="1" width="46" customWidth="1"/>
    <col min="2" max="6" width="14" customWidth="1"/>
  </cols>
  <sheetData>
    <row r="1" spans="1:6" ht="17.25" customHeight="1" x14ac:dyDescent="0.2">
      <c r="A1" s="40" t="s">
        <v>213</v>
      </c>
      <c r="B1" s="40"/>
      <c r="C1" s="40"/>
      <c r="D1" s="40"/>
      <c r="E1" s="40"/>
      <c r="F1" s="40"/>
    </row>
    <row r="2" spans="1:6" ht="15" customHeight="1" x14ac:dyDescent="0.2">
      <c r="A2" s="38" t="s">
        <v>214</v>
      </c>
      <c r="B2" s="38"/>
      <c r="C2" s="38"/>
      <c r="D2" s="38"/>
      <c r="E2" s="38"/>
      <c r="F2" s="38"/>
    </row>
    <row r="4" spans="1:6" ht="15" customHeight="1" x14ac:dyDescent="0.2">
      <c r="A4" s="1" t="s">
        <v>215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</row>
    <row r="5" spans="1:6" x14ac:dyDescent="0.2">
      <c r="A5" s="3"/>
      <c r="B5" s="3"/>
      <c r="C5" s="3"/>
      <c r="D5" s="3"/>
      <c r="E5" s="3"/>
      <c r="F5" s="3"/>
    </row>
    <row r="6" spans="1:6" ht="15" customHeight="1" x14ac:dyDescent="0.2">
      <c r="A6" s="39" t="s">
        <v>216</v>
      </c>
      <c r="B6" s="39"/>
      <c r="C6" s="39"/>
      <c r="D6" s="39"/>
      <c r="E6" s="39"/>
      <c r="F6" s="39"/>
    </row>
    <row r="7" spans="1:6" ht="15" customHeight="1" x14ac:dyDescent="0.2">
      <c r="A7" s="6" t="s">
        <v>217</v>
      </c>
      <c r="B7" s="26">
        <v>2750</v>
      </c>
      <c r="C7" s="26">
        <v>2900</v>
      </c>
      <c r="D7" s="26">
        <v>3050</v>
      </c>
      <c r="E7" s="26">
        <v>3150</v>
      </c>
      <c r="F7" s="26">
        <v>3250</v>
      </c>
    </row>
    <row r="8" spans="1:6" ht="15" customHeight="1" x14ac:dyDescent="0.2">
      <c r="A8" s="6" t="s">
        <v>218</v>
      </c>
      <c r="B8" s="26">
        <v>820</v>
      </c>
      <c r="C8" s="26">
        <v>900</v>
      </c>
      <c r="D8" s="26">
        <v>950</v>
      </c>
      <c r="E8" s="26">
        <v>970</v>
      </c>
      <c r="F8" s="26">
        <v>980</v>
      </c>
    </row>
    <row r="9" spans="1:6" ht="15" customHeight="1" x14ac:dyDescent="0.2">
      <c r="A9" s="17" t="s">
        <v>219</v>
      </c>
      <c r="B9" s="29">
        <f>B7+B8</f>
        <v>3570</v>
      </c>
      <c r="C9" s="29">
        <f>C7+C8</f>
        <v>3800</v>
      </c>
      <c r="D9" s="29">
        <f>D7+D8</f>
        <v>4000</v>
      </c>
      <c r="E9" s="29">
        <f>E7+E8</f>
        <v>4120</v>
      </c>
      <c r="F9" s="29">
        <f>F7+F8</f>
        <v>4230</v>
      </c>
    </row>
    <row r="10" spans="1:6" ht="15" customHeight="1" x14ac:dyDescent="0.2">
      <c r="A10" s="6" t="s">
        <v>220</v>
      </c>
      <c r="B10" s="8">
        <f>B8/B9</f>
        <v>0.22969187675070027</v>
      </c>
      <c r="C10" s="8">
        <f>C8/C9</f>
        <v>0.23684210526315788</v>
      </c>
      <c r="D10" s="8">
        <f>D8/D9</f>
        <v>0.23749999999999999</v>
      </c>
      <c r="E10" s="8">
        <f>E8/E9</f>
        <v>0.2354368932038835</v>
      </c>
      <c r="F10" s="8">
        <f>F8/F9</f>
        <v>0.23167848699763594</v>
      </c>
    </row>
    <row r="11" spans="1:6" x14ac:dyDescent="0.2">
      <c r="A11" s="3"/>
      <c r="B11" s="3"/>
      <c r="C11" s="3"/>
      <c r="D11" s="3"/>
      <c r="E11" s="3"/>
      <c r="F11" s="3"/>
    </row>
    <row r="12" spans="1:6" ht="15" customHeight="1" x14ac:dyDescent="0.2">
      <c r="A12" s="39" t="s">
        <v>221</v>
      </c>
      <c r="B12" s="39"/>
      <c r="C12" s="39"/>
      <c r="D12" s="39"/>
      <c r="E12" s="39"/>
      <c r="F12" s="39"/>
    </row>
    <row r="13" spans="1:6" ht="15" customHeight="1" x14ac:dyDescent="0.2">
      <c r="A13" s="6" t="s">
        <v>222</v>
      </c>
      <c r="B13" s="27">
        <v>165</v>
      </c>
      <c r="C13" s="27">
        <v>172</v>
      </c>
      <c r="D13" s="27">
        <v>178</v>
      </c>
      <c r="E13" s="27">
        <v>183</v>
      </c>
      <c r="F13" s="27">
        <v>189</v>
      </c>
    </row>
    <row r="14" spans="1:6" ht="15" customHeight="1" x14ac:dyDescent="0.2">
      <c r="A14" s="6" t="s">
        <v>223</v>
      </c>
      <c r="B14" s="27">
        <v>195</v>
      </c>
      <c r="C14" s="27">
        <v>205</v>
      </c>
      <c r="D14" s="27">
        <v>210</v>
      </c>
      <c r="E14" s="27">
        <v>214</v>
      </c>
      <c r="F14" s="27">
        <v>218</v>
      </c>
    </row>
    <row r="15" spans="1:6" x14ac:dyDescent="0.2">
      <c r="A15" s="3"/>
      <c r="B15" s="3"/>
      <c r="C15" s="3"/>
      <c r="D15" s="3"/>
      <c r="E15" s="3"/>
      <c r="F15" s="3"/>
    </row>
    <row r="16" spans="1:6" ht="15" customHeight="1" x14ac:dyDescent="0.2">
      <c r="A16" s="39" t="s">
        <v>224</v>
      </c>
      <c r="B16" s="39"/>
      <c r="C16" s="39"/>
      <c r="D16" s="39"/>
      <c r="E16" s="39"/>
      <c r="F16" s="39"/>
    </row>
    <row r="17" spans="1:6" ht="15" customHeight="1" x14ac:dyDescent="0.2">
      <c r="A17" s="6" t="s">
        <v>225</v>
      </c>
      <c r="B17" s="12">
        <f t="shared" ref="B17:F18" si="0">B7*B13/1000</f>
        <v>453.75</v>
      </c>
      <c r="C17" s="12">
        <f t="shared" si="0"/>
        <v>498.8</v>
      </c>
      <c r="D17" s="12">
        <f t="shared" si="0"/>
        <v>542.9</v>
      </c>
      <c r="E17" s="12">
        <f t="shared" si="0"/>
        <v>576.45000000000005</v>
      </c>
      <c r="F17" s="12">
        <f t="shared" si="0"/>
        <v>614.25</v>
      </c>
    </row>
    <row r="18" spans="1:6" ht="15" customHeight="1" x14ac:dyDescent="0.2">
      <c r="A18" s="6" t="s">
        <v>226</v>
      </c>
      <c r="B18" s="12">
        <f t="shared" si="0"/>
        <v>159.9</v>
      </c>
      <c r="C18" s="12">
        <f t="shared" si="0"/>
        <v>184.5</v>
      </c>
      <c r="D18" s="12">
        <f t="shared" si="0"/>
        <v>199.5</v>
      </c>
      <c r="E18" s="12">
        <f t="shared" si="0"/>
        <v>207.58</v>
      </c>
      <c r="F18" s="12">
        <f t="shared" si="0"/>
        <v>213.64</v>
      </c>
    </row>
    <row r="19" spans="1:6" ht="15" customHeight="1" x14ac:dyDescent="0.2">
      <c r="A19" s="17" t="s">
        <v>227</v>
      </c>
      <c r="B19" s="20">
        <f>B17+B18</f>
        <v>613.65</v>
      </c>
      <c r="C19" s="20">
        <f>C17+C18</f>
        <v>683.3</v>
      </c>
      <c r="D19" s="20">
        <f>D17+D18</f>
        <v>742.4</v>
      </c>
      <c r="E19" s="20">
        <f>E17+E18</f>
        <v>784.03000000000009</v>
      </c>
      <c r="F19" s="20">
        <f>F17+F18</f>
        <v>827.89</v>
      </c>
    </row>
    <row r="20" spans="1:6" ht="15" customHeight="1" x14ac:dyDescent="0.2">
      <c r="A20" s="6" t="s">
        <v>228</v>
      </c>
      <c r="B20" s="12">
        <f>B19/12</f>
        <v>51.137499999999996</v>
      </c>
      <c r="C20" s="12">
        <f>C19/12</f>
        <v>56.941666666666663</v>
      </c>
      <c r="D20" s="12">
        <f>D19/12</f>
        <v>61.866666666666667</v>
      </c>
      <c r="E20" s="12">
        <f>E19/12</f>
        <v>65.335833333333341</v>
      </c>
      <c r="F20" s="12">
        <f>F19/12</f>
        <v>68.990833333333327</v>
      </c>
    </row>
    <row r="21" spans="1:6" ht="15" customHeight="1" x14ac:dyDescent="0.2">
      <c r="A21" s="6" t="s">
        <v>229</v>
      </c>
      <c r="B21" s="8">
        <f>B19/Income_Statement!B$29</f>
        <v>2.3514197034141853E-2</v>
      </c>
      <c r="C21" s="8">
        <f>C19/Income_Statement!C$29</f>
        <v>2.4756349407630156E-2</v>
      </c>
      <c r="D21" s="8">
        <f>D19/Income_Statement!D$29</f>
        <v>2.5432034467918137E-2</v>
      </c>
      <c r="E21" s="8">
        <f>E19/Income_Statement!E$29</f>
        <v>2.5696562338865948E-2</v>
      </c>
      <c r="F21" s="8">
        <f>F19/Income_Statement!F$29</f>
        <v>2.6055329997149886E-2</v>
      </c>
    </row>
    <row r="22" spans="1:6" x14ac:dyDescent="0.2">
      <c r="A22" s="3"/>
      <c r="B22" s="3"/>
      <c r="C22" s="3"/>
      <c r="D22" s="3"/>
      <c r="E22" s="3"/>
      <c r="F22" s="3"/>
    </row>
    <row r="23" spans="1:6" ht="15" customHeight="1" x14ac:dyDescent="0.2">
      <c r="A23" s="39" t="s">
        <v>230</v>
      </c>
      <c r="B23" s="39"/>
      <c r="C23" s="39"/>
      <c r="D23" s="39"/>
      <c r="E23" s="39"/>
      <c r="F23" s="39"/>
    </row>
    <row r="24" spans="1:6" ht="15" customHeight="1" x14ac:dyDescent="0.2">
      <c r="A24" s="6" t="s">
        <v>231</v>
      </c>
      <c r="B24" s="3"/>
      <c r="C24" s="3"/>
      <c r="D24" s="30">
        <v>5</v>
      </c>
      <c r="E24" s="30">
        <v>5</v>
      </c>
      <c r="F24" s="30">
        <v>5</v>
      </c>
    </row>
    <row r="25" spans="1:6" ht="15" customHeight="1" x14ac:dyDescent="0.2">
      <c r="A25" s="6" t="s">
        <v>232</v>
      </c>
      <c r="B25" s="3"/>
      <c r="C25" s="3"/>
      <c r="D25" s="28">
        <f>D7+D24</f>
        <v>3055</v>
      </c>
      <c r="E25" s="28">
        <f>E7+E24</f>
        <v>3155</v>
      </c>
      <c r="F25" s="28">
        <f>F7+F24</f>
        <v>3255</v>
      </c>
    </row>
    <row r="26" spans="1:6" ht="15" customHeight="1" x14ac:dyDescent="0.2">
      <c r="A26" s="6" t="s">
        <v>233</v>
      </c>
      <c r="B26" s="3"/>
      <c r="C26" s="3"/>
      <c r="D26" s="28">
        <f>D8-D24</f>
        <v>945</v>
      </c>
      <c r="E26" s="28">
        <f>E8-E24</f>
        <v>965</v>
      </c>
      <c r="F26" s="28">
        <f>F8-F24</f>
        <v>975</v>
      </c>
    </row>
    <row r="27" spans="1:6" ht="15" customHeight="1" x14ac:dyDescent="0.2">
      <c r="A27" s="17" t="s">
        <v>234</v>
      </c>
      <c r="B27" s="3"/>
      <c r="C27" s="3"/>
      <c r="D27" s="31">
        <f>(D25*D13/1000)+(D26*D14/1000)</f>
        <v>742.24</v>
      </c>
      <c r="E27" s="31">
        <f>(E25*E13/1000)+(E26*E14/1000)</f>
        <v>783.875</v>
      </c>
      <c r="F27" s="31">
        <f>(F25*F13/1000)+(F26*F14/1000)</f>
        <v>827.74500000000012</v>
      </c>
    </row>
    <row r="28" spans="1:6" ht="15" customHeight="1" x14ac:dyDescent="0.2">
      <c r="A28" s="17" t="s">
        <v>235</v>
      </c>
      <c r="B28" s="3"/>
      <c r="C28" s="3"/>
      <c r="D28" s="31">
        <f>D27-D19</f>
        <v>-0.15999999999996817</v>
      </c>
      <c r="E28" s="31">
        <f>E27-E19</f>
        <v>-0.1550000000000864</v>
      </c>
      <c r="F28" s="31">
        <f>F27-F19</f>
        <v>-0.14499999999986812</v>
      </c>
    </row>
  </sheetData>
  <mergeCells count="6">
    <mergeCell ref="A23:F23"/>
    <mergeCell ref="A1:F1"/>
    <mergeCell ref="A2:F2"/>
    <mergeCell ref="A6:F6"/>
    <mergeCell ref="A12:F12"/>
    <mergeCell ref="A16:F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ReadMe</vt:lpstr>
      <vt:lpstr>Dashboard</vt:lpstr>
      <vt:lpstr>Assumptions</vt:lpstr>
      <vt:lpstr>Income_Statement</vt:lpstr>
      <vt:lpstr>Balance_Sheet</vt:lpstr>
      <vt:lpstr>Cash_Flow</vt:lpstr>
      <vt:lpstr>Retail_CapEx</vt:lpstr>
      <vt:lpstr>GRS_Headcount</vt:lpstr>
      <vt:lpstr>Total_Net_Sales_C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Bangandozou, Prustide</cp:lastModifiedBy>
  <cp:revision>3</cp:revision>
  <dcterms:created xsi:type="dcterms:W3CDTF">2026-08-09T22:52:18Z</dcterms:created>
  <dcterms:modified xsi:type="dcterms:W3CDTF">2026-08-25T17:31:01Z</dcterms:modified>
  <dc:language>en-US</dc:language>
</cp:coreProperties>
</file>